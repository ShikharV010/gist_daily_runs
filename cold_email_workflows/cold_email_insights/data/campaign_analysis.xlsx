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Business Services (1-5)" sheetId="3" state="visible" r:id="rId3"/>
    <sheet xmlns:r="http://schemas.openxmlformats.org/officeDocument/2006/relationships" name="Mix Services (1-5)" sheetId="4" state="visible" r:id="rId4"/>
    <sheet xmlns:r="http://schemas.openxmlformats.org/officeDocument/2006/relationships" name="Mix Services (5-200)" sheetId="5" state="visible" r:id="rId5"/>
    <sheet xmlns:r="http://schemas.openxmlformats.org/officeDocument/2006/relationships" name="MFG SE Hook" sheetId="6" state="visible" r:id="rId6"/>
    <sheet xmlns:r="http://schemas.openxmlformats.org/officeDocument/2006/relationships" name="MFG Account" sheetId="7" state="visible" r:id="rId7"/>
    <sheet xmlns:r="http://schemas.openxmlformats.org/officeDocument/2006/relationships" name="Corporate Training" sheetId="8" state="visible" r:id="rId8"/>
    <sheet xmlns:r="http://schemas.openxmlformats.org/officeDocument/2006/relationships" name="MFG 1-5" sheetId="9" state="visible" r:id="rId9"/>
    <sheet xmlns:r="http://schemas.openxmlformats.org/officeDocument/2006/relationships" name="Financial Services 1-5" sheetId="10" state="visible" r:id="rId10"/>
    <sheet xmlns:r="http://schemas.openxmlformats.org/officeDocument/2006/relationships" name="Construction" sheetId="11" state="visible" r:id="rId11"/>
    <sheet xmlns:r="http://schemas.openxmlformats.org/officeDocument/2006/relationships" name="Google A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&quot;$&quot;#,##0"/>
  </numFmts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</font>
    <font>
      <i val="1"/>
      <color rgb="FF6B7280"/>
    </font>
    <font>
      <b val="1"/>
      <color rgb="FF1E40AF"/>
      <sz val="1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0070FF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right" vertical="center"/>
    </xf>
    <xf numFmtId="9" fontId="0" fillId="0" borderId="0" applyAlignment="1" pivotButton="0" quotePrefix="0" xfId="0">
      <alignment horizontal="right" vertical="center"/>
    </xf>
    <xf numFmtId="10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Campaign Analysis — Cold Email Insights</t>
        </is>
      </c>
    </row>
    <row r="3">
      <c r="A3" t="inlineStr">
        <is>
          <t>Source: metrics.json generated 2026-05-21T22:06:09.167162Z</t>
        </is>
      </c>
    </row>
    <row r="4">
      <c r="A4" t="inlineStr">
        <is>
          <t>Benchmark: Manufacturing</t>
        </is>
      </c>
    </row>
    <row r="5">
      <c r="A5" t="inlineStr">
        <is>
          <t>How it works:</t>
        </is>
      </c>
    </row>
    <row r="6">
      <c r="A6" t="inlineStr">
        <is>
          <t xml:space="preserve">  • The Variables sheet is the single source of truth — one row per Sequencer campaign</t>
        </is>
      </c>
    </row>
    <row r="7">
      <c r="A7" t="inlineStr">
        <is>
          <t xml:space="preserve">    with raw counts (emails / leads / replied / bounced / interested / demos / shows /</t>
        </is>
      </c>
    </row>
    <row r="8">
      <c r="A8" t="inlineStr">
        <is>
          <t xml:space="preserve">    pending / no-shows / completed / closed / ARR / MRR).</t>
        </is>
      </c>
    </row>
    <row r="9">
      <c r="A9" t="inlineStr">
        <is>
          <t xml:space="preserve">  • Every industry tab uses SUMIFS to aggregate those raw counts by industry.</t>
        </is>
      </c>
    </row>
    <row r="10">
      <c r="A10" t="inlineStr">
        <is>
          <t xml:space="preserve">  • Ratios are computed live as numerator-sum / denominator-sum via IFERROR(...).</t>
        </is>
      </c>
    </row>
    <row r="11">
      <c r="A11" t="inlineStr">
        <is>
          <t xml:space="preserve">  • To re-run with fresh data, run:  python3 campaign_analysis.py</t>
        </is>
      </c>
    </row>
    <row r="13">
      <c r="A13" t="inlineStr">
        <is>
          <t>Definitions:</t>
        </is>
      </c>
    </row>
    <row r="14">
      <c r="A14" t="inlineStr">
        <is>
          <t xml:space="preserve">  Emails Sent          — total deliveries from campaign-stats snapshot</t>
        </is>
      </c>
    </row>
    <row r="15">
      <c r="A15" t="inlineStr">
        <is>
          <t xml:space="preserve">  Leads Contacted      — unique leads that received ≥1 email</t>
        </is>
      </c>
    </row>
    <row r="16">
      <c r="A16" t="inlineStr">
        <is>
          <t xml:space="preserve">  Replied              — any reply (any tone)</t>
        </is>
      </c>
    </row>
    <row r="17">
      <c r="A17" t="inlineStr">
        <is>
          <t xml:space="preserve">  Bounced              — hard-bounce email events</t>
        </is>
      </c>
    </row>
    <row r="18">
      <c r="A18" t="inlineStr">
        <is>
          <t xml:space="preserve">  Interested Replies   — Sequencer tag_id=11 (manually flagged Interested)</t>
        </is>
      </c>
    </row>
    <row r="19">
      <c r="A19" t="inlineStr">
        <is>
          <t xml:space="preserve">  Demos Booked         — bookings in gist.gtm_inbound_demo_bookings attributed to campaign</t>
        </is>
      </c>
    </row>
    <row r="20">
      <c r="A20" t="inlineStr">
        <is>
          <t xml:space="preserve">  Pending Demos        — show_status="P" AND demo_scheduled_date &gt;= today</t>
        </is>
      </c>
    </row>
    <row r="21">
      <c r="A21" t="inlineStr">
        <is>
          <t xml:space="preserve">  No-shows             — completed bookings that did not show (N + R + past P)</t>
        </is>
      </c>
    </row>
    <row r="22">
      <c r="A22" t="inlineStr">
        <is>
          <t xml:space="preserve">  Show-up Rate         — Shows / (Shows + No-shows)</t>
        </is>
      </c>
    </row>
    <row r="23">
      <c r="A23" t="inlineStr">
        <is>
          <t xml:space="preserve">  Closed Deals         — count of demo_bookings flagged as onboarded</t>
        </is>
      </c>
    </row>
    <row r="24">
      <c r="A24" t="inlineStr">
        <is>
          <t xml:space="preserve">  ARR / MRR            — sum from Onboarding_Tracker matched on website domain</t>
        </is>
      </c>
    </row>
    <row r="26">
      <c r="A26" t="inlineStr">
        <is>
          <t>Index vs MFG = industry value ÷ Manufacturing value (column D on every industry tab)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25" customWidth="1" min="3" max="3"/>
    <col width="25" customWidth="1" min="4" max="4"/>
    <col width="11" customWidth="1" min="5" max="5"/>
    <col width="13" customWidth="1" min="6" max="6"/>
    <col width="17" customWidth="1" min="7" max="7"/>
    <col width="9" customWidth="1" min="8" max="8"/>
    <col width="9" customWidth="1" min="9" max="9"/>
    <col width="12" customWidth="1" min="10" max="10"/>
    <col width="14" customWidth="1" min="11" max="11"/>
    <col width="9" customWidth="1" min="12" max="12"/>
    <col width="9" customWidth="1" min="13" max="13"/>
    <col width="8" customWidth="1" min="14" max="14"/>
    <col width="17" customWidth="1" min="15" max="15"/>
    <col width="8" customWidth="1" min="16" max="16"/>
    <col width="9" customWidth="1" min="17" max="17"/>
    <col width="8" customWidth="1" min="18" max="18"/>
  </cols>
  <sheetData>
    <row r="1">
      <c r="A1" s="2" t="inlineStr">
        <is>
          <t>campaign_id</t>
        </is>
      </c>
      <c r="B1" s="2" t="inlineStr">
        <is>
          <t>campaign_name</t>
        </is>
      </c>
      <c r="C1" s="2" t="inlineStr">
        <is>
          <t>industry</t>
        </is>
      </c>
      <c r="D1" s="2" t="inlineStr">
        <is>
          <t>industry_group</t>
        </is>
      </c>
      <c r="E1" s="2" t="inlineStr">
        <is>
          <t>status</t>
        </is>
      </c>
      <c r="F1" s="2" t="inlineStr">
        <is>
          <t>emails_sent</t>
        </is>
      </c>
      <c r="G1" s="2" t="inlineStr">
        <is>
          <t>leads_contacted</t>
        </is>
      </c>
      <c r="H1" s="2" t="inlineStr">
        <is>
          <t>replied</t>
        </is>
      </c>
      <c r="I1" s="2" t="inlineStr">
        <is>
          <t>bounced</t>
        </is>
      </c>
      <c r="J1" s="2" t="inlineStr">
        <is>
          <t>interested</t>
        </is>
      </c>
      <c r="K1" s="2" t="inlineStr">
        <is>
          <t>demos_booked</t>
        </is>
      </c>
      <c r="L1" s="2" t="inlineStr">
        <is>
          <t>showups</t>
        </is>
      </c>
      <c r="M1" s="2" t="inlineStr">
        <is>
          <t>pending</t>
        </is>
      </c>
      <c r="N1" s="2" t="inlineStr">
        <is>
          <t>noshow</t>
        </is>
      </c>
      <c r="O1" s="2" t="inlineStr">
        <is>
          <t>completed_demos</t>
        </is>
      </c>
      <c r="P1" s="2" t="inlineStr">
        <is>
          <t>closed</t>
        </is>
      </c>
      <c r="Q1" s="2" t="inlineStr">
        <is>
          <t>arr</t>
        </is>
      </c>
      <c r="R1" s="2" t="inlineStr">
        <is>
          <t>mrr</t>
        </is>
      </c>
    </row>
    <row r="2">
      <c r="A2" t="n">
        <v>115</v>
      </c>
      <c r="B2" t="inlineStr">
        <is>
          <t>Business Services (1-5) - Google → Google (20_05)</t>
        </is>
      </c>
      <c r="C2" t="inlineStr">
        <is>
          <t>Business Services (1-5)</t>
        </is>
      </c>
      <c r="D2" t="inlineStr">
        <is>
          <t>Business Services (1-5)</t>
        </is>
      </c>
      <c r="E2" t="inlineStr">
        <is>
          <t>active</t>
        </is>
      </c>
      <c r="F2" t="n">
        <v>8024</v>
      </c>
      <c r="G2" t="n">
        <v>8024</v>
      </c>
      <c r="H2" t="n">
        <v>172</v>
      </c>
      <c r="I2" t="n">
        <v>108</v>
      </c>
      <c r="J2" t="n">
        <v>38</v>
      </c>
      <c r="K2" t="n">
        <v>9</v>
      </c>
      <c r="L2" t="n">
        <v>0</v>
      </c>
      <c r="M2" t="n">
        <v>7</v>
      </c>
      <c r="N2" t="n">
        <v>2</v>
      </c>
      <c r="O2" t="n">
        <v>2</v>
      </c>
      <c r="P2" t="n">
        <v>0</v>
      </c>
      <c r="Q2" t="n">
        <v>0</v>
      </c>
      <c r="R2" t="n">
        <v>0</v>
      </c>
    </row>
    <row r="3">
      <c r="A3" t="n">
        <v>116</v>
      </c>
      <c r="B3" t="inlineStr">
        <is>
          <t>Business Services (1-5) - Google → Custom+Misc (20_05)</t>
        </is>
      </c>
      <c r="C3" t="inlineStr">
        <is>
          <t>Business Services (1-5)</t>
        </is>
      </c>
      <c r="D3" t="inlineStr">
        <is>
          <t>Business Services (1-5)</t>
        </is>
      </c>
      <c r="E3" t="inlineStr">
        <is>
          <t>active</t>
        </is>
      </c>
      <c r="F3" t="n">
        <v>5936</v>
      </c>
      <c r="G3" t="n">
        <v>5936</v>
      </c>
      <c r="H3" t="n">
        <v>125</v>
      </c>
      <c r="I3" t="n">
        <v>124</v>
      </c>
      <c r="J3" t="n">
        <v>34</v>
      </c>
      <c r="K3" t="n">
        <v>4</v>
      </c>
      <c r="L3" t="n">
        <v>0</v>
      </c>
      <c r="M3" t="n">
        <v>3</v>
      </c>
      <c r="N3" t="n">
        <v>1</v>
      </c>
      <c r="O3" t="n">
        <v>1</v>
      </c>
      <c r="P3" t="n">
        <v>0</v>
      </c>
      <c r="Q3" t="n">
        <v>0</v>
      </c>
      <c r="R3" t="n">
        <v>0</v>
      </c>
    </row>
    <row r="4">
      <c r="A4" t="n">
        <v>117</v>
      </c>
      <c r="B4" t="inlineStr">
        <is>
          <t>Business Services (1-5) - Microsoft → Outlook (20_05)</t>
        </is>
      </c>
      <c r="C4" t="inlineStr">
        <is>
          <t>Business Services (1-5)</t>
        </is>
      </c>
      <c r="D4" t="inlineStr">
        <is>
          <t>Business Services (1-5)</t>
        </is>
      </c>
      <c r="E4" t="inlineStr">
        <is>
          <t>active</t>
        </is>
      </c>
      <c r="F4" t="n">
        <v>2896</v>
      </c>
      <c r="G4" t="n">
        <v>2896</v>
      </c>
      <c r="H4" t="n">
        <v>7</v>
      </c>
      <c r="I4" t="n">
        <v>10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112</v>
      </c>
      <c r="B5" t="inlineStr">
        <is>
          <t>Mix Services (1-5) - Google → Google (19_05)</t>
        </is>
      </c>
      <c r="C5" t="inlineStr">
        <is>
          <t>Mix Services (1-5)</t>
        </is>
      </c>
      <c r="D5" t="inlineStr">
        <is>
          <t>Mix Services (1-5)</t>
        </is>
      </c>
      <c r="E5" t="inlineStr">
        <is>
          <t>active</t>
        </is>
      </c>
      <c r="F5" t="n">
        <v>16806</v>
      </c>
      <c r="G5" t="n">
        <v>9715</v>
      </c>
      <c r="H5" t="n">
        <v>209</v>
      </c>
      <c r="I5" t="n">
        <v>132</v>
      </c>
      <c r="J5" t="n">
        <v>35</v>
      </c>
      <c r="K5" t="n">
        <v>8</v>
      </c>
      <c r="L5" t="n">
        <v>2</v>
      </c>
      <c r="M5" t="n">
        <v>5</v>
      </c>
      <c r="N5" t="n">
        <v>1</v>
      </c>
      <c r="O5" t="n">
        <v>3</v>
      </c>
      <c r="P5" t="n">
        <v>0</v>
      </c>
      <c r="Q5" t="n">
        <v>0</v>
      </c>
      <c r="R5" t="n">
        <v>0</v>
      </c>
    </row>
    <row r="6">
      <c r="A6" t="n">
        <v>113</v>
      </c>
      <c r="B6" t="inlineStr">
        <is>
          <t>Mix Services (1-5) - Google → Custom+Misc (19_05)</t>
        </is>
      </c>
      <c r="C6" t="inlineStr">
        <is>
          <t>Mix Services (1-5)</t>
        </is>
      </c>
      <c r="D6" t="inlineStr">
        <is>
          <t>Mix Services (1-5)</t>
        </is>
      </c>
      <c r="E6" t="inlineStr">
        <is>
          <t>active</t>
        </is>
      </c>
      <c r="F6" t="n">
        <v>11685</v>
      </c>
      <c r="G6" t="n">
        <v>6985</v>
      </c>
      <c r="H6" t="n">
        <v>110</v>
      </c>
      <c r="I6" t="n">
        <v>280</v>
      </c>
      <c r="J6" t="n">
        <v>14</v>
      </c>
      <c r="K6" t="n">
        <v>3</v>
      </c>
      <c r="L6" t="n">
        <v>2</v>
      </c>
      <c r="M6" t="n">
        <v>1</v>
      </c>
      <c r="N6" t="n">
        <v>0</v>
      </c>
      <c r="O6" t="n">
        <v>2</v>
      </c>
      <c r="P6" t="n">
        <v>1</v>
      </c>
      <c r="Q6" t="n">
        <v>6000</v>
      </c>
      <c r="R6" t="n">
        <v>500</v>
      </c>
    </row>
    <row r="7">
      <c r="A7" t="n">
        <v>114</v>
      </c>
      <c r="B7" t="inlineStr">
        <is>
          <t>Mix Services (1-5) - Microsoft → Outlook (19_05)</t>
        </is>
      </c>
      <c r="C7" t="inlineStr">
        <is>
          <t>Mix Services (1-5)</t>
        </is>
      </c>
      <c r="D7" t="inlineStr">
        <is>
          <t>Mix Services (1-5)</t>
        </is>
      </c>
      <c r="E7" t="inlineStr">
        <is>
          <t>active</t>
        </is>
      </c>
      <c r="F7" t="n">
        <v>8474</v>
      </c>
      <c r="G7" t="n">
        <v>6351</v>
      </c>
      <c r="H7" t="n">
        <v>39</v>
      </c>
      <c r="I7" t="n">
        <v>1226</v>
      </c>
      <c r="J7" t="n">
        <v>6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110</v>
      </c>
      <c r="B8" t="inlineStr">
        <is>
          <t>Mix Services (5-200) - Microsoft → Outlook (19_05)</t>
        </is>
      </c>
      <c r="C8" t="inlineStr">
        <is>
          <t>Mix Services (5-200)</t>
        </is>
      </c>
      <c r="D8" t="inlineStr">
        <is>
          <t>Mix Services (5-200)</t>
        </is>
      </c>
      <c r="E8" t="inlineStr">
        <is>
          <t>active</t>
        </is>
      </c>
      <c r="F8" t="n">
        <v>12879</v>
      </c>
      <c r="G8" t="n">
        <v>11819</v>
      </c>
      <c r="H8" t="n">
        <v>30</v>
      </c>
      <c r="I8" t="n">
        <v>1486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109</v>
      </c>
      <c r="B9" t="inlineStr">
        <is>
          <t>Mix Services (5-200) - Google → Custom+Misc (19_05)</t>
        </is>
      </c>
      <c r="C9" t="inlineStr">
        <is>
          <t>Mix Services (5-200)</t>
        </is>
      </c>
      <c r="D9" t="inlineStr">
        <is>
          <t>Mix Services (5-200)</t>
        </is>
      </c>
      <c r="E9" t="inlineStr">
        <is>
          <t>active</t>
        </is>
      </c>
      <c r="F9" t="n">
        <v>12585</v>
      </c>
      <c r="G9" t="n">
        <v>7300</v>
      </c>
      <c r="H9" t="n">
        <v>112</v>
      </c>
      <c r="I9" t="n">
        <v>264</v>
      </c>
      <c r="J9" t="n">
        <v>3</v>
      </c>
      <c r="K9" t="n">
        <v>2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</row>
    <row r="10">
      <c r="A10" t="n">
        <v>108</v>
      </c>
      <c r="B10" t="inlineStr">
        <is>
          <t>Mix Services (5-200) - Google → Google (19_05)</t>
        </is>
      </c>
      <c r="C10" t="inlineStr">
        <is>
          <t>Mix Services (5-200)</t>
        </is>
      </c>
      <c r="D10" t="inlineStr">
        <is>
          <t>Mix Services (5-200)</t>
        </is>
      </c>
      <c r="E10" t="inlineStr">
        <is>
          <t>active</t>
        </is>
      </c>
      <c r="F10" t="n">
        <v>17908</v>
      </c>
      <c r="G10" t="n">
        <v>12321</v>
      </c>
      <c r="H10" t="n">
        <v>254</v>
      </c>
      <c r="I10" t="n">
        <v>57</v>
      </c>
      <c r="J10" t="n">
        <v>14</v>
      </c>
      <c r="K10" t="n">
        <v>2</v>
      </c>
      <c r="L10" t="n">
        <v>0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</row>
    <row r="11">
      <c r="A11" t="n">
        <v>107</v>
      </c>
      <c r="B11" t="inlineStr">
        <is>
          <t>MFG SE Hook - Google → Custom+Misc (15_05)</t>
        </is>
      </c>
      <c r="C11" t="inlineStr">
        <is>
          <t>MFG SE Hook</t>
        </is>
      </c>
      <c r="D11" t="inlineStr">
        <is>
          <t>MFG SE Hook</t>
        </is>
      </c>
      <c r="E11" t="inlineStr">
        <is>
          <t>active</t>
        </is>
      </c>
      <c r="F11" t="n">
        <v>11253</v>
      </c>
      <c r="G11" t="n">
        <v>6902</v>
      </c>
      <c r="H11" t="n">
        <v>188</v>
      </c>
      <c r="I11" t="n">
        <v>133</v>
      </c>
      <c r="J11" t="n">
        <v>4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106</v>
      </c>
      <c r="B12" t="inlineStr">
        <is>
          <t>MFG SE Hook - Google → Google (15_05)</t>
        </is>
      </c>
      <c r="C12" t="inlineStr">
        <is>
          <t>MFG SE Hook</t>
        </is>
      </c>
      <c r="D12" t="inlineStr">
        <is>
          <t>MFG SE Hook</t>
        </is>
      </c>
      <c r="E12" t="inlineStr">
        <is>
          <t>active</t>
        </is>
      </c>
      <c r="F12" t="n">
        <v>4904</v>
      </c>
      <c r="G12" t="n">
        <v>2649</v>
      </c>
      <c r="H12" t="n">
        <v>71</v>
      </c>
      <c r="I12" t="n">
        <v>16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</row>
    <row r="13">
      <c r="A13" t="n">
        <v>105</v>
      </c>
      <c r="B13" t="inlineStr">
        <is>
          <t>MFG SE Hook - Microsoft → Outlook (15_05)</t>
        </is>
      </c>
      <c r="C13" t="inlineStr">
        <is>
          <t>MFG SE Hook</t>
        </is>
      </c>
      <c r="D13" t="inlineStr">
        <is>
          <t>MFG SE Hook</t>
        </is>
      </c>
      <c r="E13" t="inlineStr">
        <is>
          <t>active</t>
        </is>
      </c>
      <c r="F13" t="n">
        <v>600</v>
      </c>
      <c r="G13" t="n">
        <v>590</v>
      </c>
      <c r="H13" t="n">
        <v>16</v>
      </c>
      <c r="I13" t="n">
        <v>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104</v>
      </c>
      <c r="B14" t="inlineStr">
        <is>
          <t>MFG Account - Microsoft → Proofpoint (13_05)</t>
        </is>
      </c>
      <c r="C14" t="inlineStr">
        <is>
          <t>MFG Account</t>
        </is>
      </c>
      <c r="D14" t="inlineStr">
        <is>
          <t>MFG Account</t>
        </is>
      </c>
      <c r="E14" t="inlineStr">
        <is>
          <t>active</t>
        </is>
      </c>
      <c r="F14" t="n">
        <v>1876</v>
      </c>
      <c r="G14" t="n">
        <v>1457</v>
      </c>
      <c r="H14" t="n">
        <v>3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103</v>
      </c>
      <c r="B15" t="inlineStr">
        <is>
          <t>MFG Account - Microsoft → Outlook (13_05)</t>
        </is>
      </c>
      <c r="C15" t="inlineStr">
        <is>
          <t>MFG Account</t>
        </is>
      </c>
      <c r="D15" t="inlineStr">
        <is>
          <t>MFG Account</t>
        </is>
      </c>
      <c r="E15" t="inlineStr">
        <is>
          <t>active</t>
        </is>
      </c>
      <c r="F15" t="n">
        <v>20922</v>
      </c>
      <c r="G15" t="n">
        <v>13337</v>
      </c>
      <c r="H15" t="n">
        <v>89</v>
      </c>
      <c r="I15" t="n">
        <v>173</v>
      </c>
      <c r="J15" t="n">
        <v>8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</row>
    <row r="16">
      <c r="A16" t="n">
        <v>102</v>
      </c>
      <c r="B16" t="inlineStr">
        <is>
          <t>MFG Account- Google → Custom+Misc (13_05)</t>
        </is>
      </c>
      <c r="C16" t="inlineStr">
        <is>
          <t>MFG Account</t>
        </is>
      </c>
      <c r="D16" t="inlineStr">
        <is>
          <t>MFG Account</t>
        </is>
      </c>
      <c r="E16" t="inlineStr">
        <is>
          <t>active</t>
        </is>
      </c>
      <c r="F16" t="n">
        <v>23306</v>
      </c>
      <c r="G16" t="n">
        <v>8191</v>
      </c>
      <c r="H16" t="n">
        <v>332</v>
      </c>
      <c r="I16" t="n">
        <v>463</v>
      </c>
      <c r="J16" t="n">
        <v>13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101</v>
      </c>
      <c r="B17" t="inlineStr">
        <is>
          <t>MFG Account - Google → Google (13_05)</t>
        </is>
      </c>
      <c r="C17" t="inlineStr">
        <is>
          <t>MFG Account</t>
        </is>
      </c>
      <c r="D17" t="inlineStr">
        <is>
          <t>MFG Account</t>
        </is>
      </c>
      <c r="E17" t="inlineStr">
        <is>
          <t>active</t>
        </is>
      </c>
      <c r="F17" t="n">
        <v>10146</v>
      </c>
      <c r="G17" t="n">
        <v>3687</v>
      </c>
      <c r="H17" t="n">
        <v>133</v>
      </c>
      <c r="I17" t="n">
        <v>32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</row>
    <row r="18">
      <c r="A18" t="n">
        <v>99</v>
      </c>
      <c r="B18" t="inlineStr">
        <is>
          <t>Corporate Training - Microsoft → Outlook (13_05)</t>
        </is>
      </c>
      <c r="C18" t="inlineStr">
        <is>
          <t>Corporate Training</t>
        </is>
      </c>
      <c r="D18" t="inlineStr">
        <is>
          <t>Corporate Training</t>
        </is>
      </c>
      <c r="E18" t="inlineStr">
        <is>
          <t>active</t>
        </is>
      </c>
      <c r="F18" t="n">
        <v>6244</v>
      </c>
      <c r="G18" t="n">
        <v>5040</v>
      </c>
      <c r="H18" t="n">
        <v>12</v>
      </c>
      <c r="I18" t="n">
        <v>49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100</v>
      </c>
      <c r="B19" t="inlineStr">
        <is>
          <t>Corporate Training - Microsoft → Proofpoint (13_05)</t>
        </is>
      </c>
      <c r="C19" t="inlineStr">
        <is>
          <t>Corporate Training</t>
        </is>
      </c>
      <c r="D19" t="inlineStr">
        <is>
          <t>Corporate Training</t>
        </is>
      </c>
      <c r="E19" t="inlineStr">
        <is>
          <t>active</t>
        </is>
      </c>
      <c r="F19" t="n">
        <v>166</v>
      </c>
      <c r="G19" t="n">
        <v>166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97</v>
      </c>
      <c r="B20" t="inlineStr">
        <is>
          <t>Corporate Training - Google → Google (13_05)</t>
        </is>
      </c>
      <c r="C20" t="inlineStr">
        <is>
          <t>Corporate Training</t>
        </is>
      </c>
      <c r="D20" t="inlineStr">
        <is>
          <t>Corporate Training</t>
        </is>
      </c>
      <c r="E20" t="inlineStr">
        <is>
          <t>active</t>
        </is>
      </c>
      <c r="F20" t="n">
        <v>23874</v>
      </c>
      <c r="G20" t="n">
        <v>8366</v>
      </c>
      <c r="H20" t="n">
        <v>423</v>
      </c>
      <c r="I20" t="n">
        <v>154</v>
      </c>
      <c r="J20" t="n">
        <v>47</v>
      </c>
      <c r="K20" t="n">
        <v>8</v>
      </c>
      <c r="L20" t="n">
        <v>5</v>
      </c>
      <c r="M20" t="n">
        <v>1</v>
      </c>
      <c r="N20" t="n">
        <v>2</v>
      </c>
      <c r="O20" t="n">
        <v>7</v>
      </c>
      <c r="P20" t="n">
        <v>1</v>
      </c>
      <c r="Q20" t="n">
        <v>9600</v>
      </c>
      <c r="R20" t="n">
        <v>800</v>
      </c>
    </row>
    <row r="21">
      <c r="A21" t="n">
        <v>98</v>
      </c>
      <c r="B21" t="inlineStr">
        <is>
          <t>Corporate Training - Google → Custom+Misc (13_05)</t>
        </is>
      </c>
      <c r="C21" t="inlineStr">
        <is>
          <t>Corporate Training</t>
        </is>
      </c>
      <c r="D21" t="inlineStr">
        <is>
          <t>Corporate Training</t>
        </is>
      </c>
      <c r="E21" t="inlineStr">
        <is>
          <t>active</t>
        </is>
      </c>
      <c r="F21" t="n">
        <v>11802</v>
      </c>
      <c r="G21" t="n">
        <v>4505</v>
      </c>
      <c r="H21" t="n">
        <v>214</v>
      </c>
      <c r="I21" t="n">
        <v>691</v>
      </c>
      <c r="J21" t="n">
        <v>29</v>
      </c>
      <c r="K21" t="n">
        <v>7</v>
      </c>
      <c r="L21" t="n">
        <v>5</v>
      </c>
      <c r="M21" t="n">
        <v>0</v>
      </c>
      <c r="N21" t="n">
        <v>2</v>
      </c>
      <c r="O21" t="n">
        <v>7</v>
      </c>
      <c r="P21" t="n">
        <v>0</v>
      </c>
      <c r="Q21" t="n">
        <v>0</v>
      </c>
      <c r="R21" t="n">
        <v>0</v>
      </c>
    </row>
    <row r="22">
      <c r="A22" t="n">
        <v>96</v>
      </c>
      <c r="B22" t="inlineStr">
        <is>
          <t>MFG 1-5 - Microsoft → Proofpoint (12_05)</t>
        </is>
      </c>
      <c r="C22" t="inlineStr">
        <is>
          <t>MFG 1-5</t>
        </is>
      </c>
      <c r="D22" t="inlineStr">
        <is>
          <t>MFG 1-5</t>
        </is>
      </c>
      <c r="E22" t="inlineStr">
        <is>
          <t>active</t>
        </is>
      </c>
      <c r="F22" t="n">
        <v>2035</v>
      </c>
      <c r="G22" t="n">
        <v>1127</v>
      </c>
      <c r="H22" t="n">
        <v>1</v>
      </c>
      <c r="I22" t="n">
        <v>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95</v>
      </c>
      <c r="B23" t="inlineStr">
        <is>
          <t>MFG 1-5 - Microsoft → Outlook (12_05)</t>
        </is>
      </c>
      <c r="C23" t="inlineStr">
        <is>
          <t>MFG 1-5</t>
        </is>
      </c>
      <c r="D23" t="inlineStr">
        <is>
          <t>MFG 1-5</t>
        </is>
      </c>
      <c r="E23" t="inlineStr">
        <is>
          <t>active</t>
        </is>
      </c>
      <c r="F23" t="n">
        <v>6147</v>
      </c>
      <c r="G23" t="n">
        <v>4876</v>
      </c>
      <c r="H23" t="n">
        <v>11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94</v>
      </c>
      <c r="B24" t="inlineStr">
        <is>
          <t>MFG 1-5 - Google → Custom+Misc (12_05)</t>
        </is>
      </c>
      <c r="C24" t="inlineStr">
        <is>
          <t>MFG 1-5</t>
        </is>
      </c>
      <c r="D24" t="inlineStr">
        <is>
          <t>MFG 1-5</t>
        </is>
      </c>
      <c r="E24" t="inlineStr">
        <is>
          <t>completed</t>
        </is>
      </c>
      <c r="F24" t="n">
        <v>16542</v>
      </c>
      <c r="G24" t="n">
        <v>6150</v>
      </c>
      <c r="H24" t="n">
        <v>207</v>
      </c>
      <c r="I24" t="n">
        <v>925</v>
      </c>
      <c r="J24" t="n">
        <v>39</v>
      </c>
      <c r="K24" t="n">
        <v>9</v>
      </c>
      <c r="L24" t="n">
        <v>7</v>
      </c>
      <c r="M24" t="n">
        <v>0</v>
      </c>
      <c r="N24" t="n">
        <v>2</v>
      </c>
      <c r="O24" t="n">
        <v>9</v>
      </c>
      <c r="P24" t="n">
        <v>0</v>
      </c>
      <c r="Q24" t="n">
        <v>0</v>
      </c>
      <c r="R24" t="n">
        <v>0</v>
      </c>
    </row>
    <row r="25">
      <c r="A25" t="n">
        <v>93</v>
      </c>
      <c r="B25" t="inlineStr">
        <is>
          <t>MFG 1-5 - Google → Google (12_05)</t>
        </is>
      </c>
      <c r="C25" t="inlineStr">
        <is>
          <t>MFG 1-5</t>
        </is>
      </c>
      <c r="D25" t="inlineStr">
        <is>
          <t>MFG 1-5</t>
        </is>
      </c>
      <c r="E25" t="inlineStr">
        <is>
          <t>active</t>
        </is>
      </c>
      <c r="F25" t="n">
        <v>16287</v>
      </c>
      <c r="G25" t="n">
        <v>5743</v>
      </c>
      <c r="H25" t="n">
        <v>251</v>
      </c>
      <c r="I25" t="n">
        <v>187</v>
      </c>
      <c r="J25" t="n">
        <v>49</v>
      </c>
      <c r="K25" t="n">
        <v>13</v>
      </c>
      <c r="L25" t="n">
        <v>3</v>
      </c>
      <c r="M25" t="n">
        <v>3</v>
      </c>
      <c r="N25" t="n">
        <v>7</v>
      </c>
      <c r="O25" t="n">
        <v>10</v>
      </c>
      <c r="P25" t="n">
        <v>0</v>
      </c>
      <c r="Q25" t="n">
        <v>0</v>
      </c>
      <c r="R25" t="n">
        <v>0</v>
      </c>
    </row>
    <row r="26">
      <c r="A26" t="n">
        <v>92</v>
      </c>
      <c r="B26" t="inlineStr">
        <is>
          <t>Financial Services 1-5 - Microsoft → Proofpoint (08_05)</t>
        </is>
      </c>
      <c r="C26" t="inlineStr">
        <is>
          <t>Financial Services 1-5</t>
        </is>
      </c>
      <c r="D26" t="inlineStr">
        <is>
          <t>Financial Services 1-5</t>
        </is>
      </c>
      <c r="E26" t="inlineStr">
        <is>
          <t>active</t>
        </is>
      </c>
      <c r="F26" t="n">
        <v>2001</v>
      </c>
      <c r="G26" t="n">
        <v>1358</v>
      </c>
      <c r="H26" t="n">
        <v>0</v>
      </c>
      <c r="I26" t="n">
        <v>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91</v>
      </c>
      <c r="B27" t="inlineStr">
        <is>
          <t>Financial Services 1-5 - Microsoft → Outlook (08_05)</t>
        </is>
      </c>
      <c r="C27" t="inlineStr">
        <is>
          <t>Financial Services 1-5</t>
        </is>
      </c>
      <c r="D27" t="inlineStr">
        <is>
          <t>Financial Services 1-5</t>
        </is>
      </c>
      <c r="E27" t="inlineStr">
        <is>
          <t>active</t>
        </is>
      </c>
      <c r="F27" t="n">
        <v>5244</v>
      </c>
      <c r="G27" t="n">
        <v>4728</v>
      </c>
      <c r="H27" t="n">
        <v>14</v>
      </c>
      <c r="I27" t="n">
        <v>45</v>
      </c>
      <c r="J27" t="n">
        <v>2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</row>
    <row r="28">
      <c r="A28" t="n">
        <v>90</v>
      </c>
      <c r="B28" t="inlineStr">
        <is>
          <t>Financial Services 1-5 - Google → Custom+Misc (08_05)</t>
        </is>
      </c>
      <c r="C28" t="inlineStr">
        <is>
          <t>Financial Services 1-5</t>
        </is>
      </c>
      <c r="D28" t="inlineStr">
        <is>
          <t>Financial Services 1-5</t>
        </is>
      </c>
      <c r="E28" t="inlineStr">
        <is>
          <t>active</t>
        </is>
      </c>
      <c r="F28" t="n">
        <v>13709</v>
      </c>
      <c r="G28" t="n">
        <v>6177</v>
      </c>
      <c r="H28" t="n">
        <v>244</v>
      </c>
      <c r="I28" t="n">
        <v>487</v>
      </c>
      <c r="J28" t="n">
        <v>55</v>
      </c>
      <c r="K28" t="n">
        <v>16</v>
      </c>
      <c r="L28" t="n">
        <v>8</v>
      </c>
      <c r="M28" t="n">
        <v>1</v>
      </c>
      <c r="N28" t="n">
        <v>7</v>
      </c>
      <c r="O28" t="n">
        <v>15</v>
      </c>
      <c r="P28" t="n">
        <v>1</v>
      </c>
      <c r="Q28" t="n">
        <v>8400</v>
      </c>
      <c r="R28" t="n">
        <v>700</v>
      </c>
    </row>
    <row r="29">
      <c r="A29" t="n">
        <v>89</v>
      </c>
      <c r="B29" t="inlineStr">
        <is>
          <t>Financial Services 1-5 - Google → Google (08_05)</t>
        </is>
      </c>
      <c r="C29" t="inlineStr">
        <is>
          <t>Financial Services 1-5</t>
        </is>
      </c>
      <c r="D29" t="inlineStr">
        <is>
          <t>Financial Services 1-5</t>
        </is>
      </c>
      <c r="E29" t="inlineStr">
        <is>
          <t>active</t>
        </is>
      </c>
      <c r="F29" t="n">
        <v>18114</v>
      </c>
      <c r="G29" t="n">
        <v>6261</v>
      </c>
      <c r="H29" t="n">
        <v>376</v>
      </c>
      <c r="I29" t="n">
        <v>149</v>
      </c>
      <c r="J29" t="n">
        <v>80</v>
      </c>
      <c r="K29" t="n">
        <v>23</v>
      </c>
      <c r="L29" t="n">
        <v>17</v>
      </c>
      <c r="M29" t="n">
        <v>1</v>
      </c>
      <c r="N29" t="n">
        <v>5</v>
      </c>
      <c r="O29" t="n">
        <v>22</v>
      </c>
      <c r="P29" t="n">
        <v>5</v>
      </c>
      <c r="Q29" t="n">
        <v>52200</v>
      </c>
      <c r="R29" t="n">
        <v>4350</v>
      </c>
    </row>
    <row r="30">
      <c r="A30" t="n">
        <v>84</v>
      </c>
      <c r="B30" t="inlineStr">
        <is>
          <t>Construction - Google → Google (05_05)</t>
        </is>
      </c>
      <c r="C30" t="inlineStr">
        <is>
          <t>Construction</t>
        </is>
      </c>
      <c r="D30" t="inlineStr">
        <is>
          <t>Construction</t>
        </is>
      </c>
      <c r="E30" t="inlineStr">
        <is>
          <t>completed</t>
        </is>
      </c>
      <c r="F30" t="n">
        <v>19076</v>
      </c>
      <c r="G30" t="n">
        <v>6468</v>
      </c>
      <c r="H30" t="n">
        <v>228</v>
      </c>
      <c r="I30" t="n">
        <v>60</v>
      </c>
      <c r="J30" t="n">
        <v>17</v>
      </c>
      <c r="K30" t="n">
        <v>3</v>
      </c>
      <c r="L30" t="n">
        <v>2</v>
      </c>
      <c r="M30" t="n">
        <v>0</v>
      </c>
      <c r="N30" t="n">
        <v>1</v>
      </c>
      <c r="O30" t="n">
        <v>3</v>
      </c>
      <c r="P30" t="n">
        <v>1</v>
      </c>
      <c r="Q30" t="n">
        <v>14400</v>
      </c>
      <c r="R30" t="n">
        <v>1200</v>
      </c>
    </row>
    <row r="31">
      <c r="A31" t="n">
        <v>85</v>
      </c>
      <c r="B31" t="inlineStr">
        <is>
          <t>Construction - Google → Custom+Misc (05-05)</t>
        </is>
      </c>
      <c r="C31" t="inlineStr">
        <is>
          <t>Construction</t>
        </is>
      </c>
      <c r="D31" t="inlineStr">
        <is>
          <t>Construction</t>
        </is>
      </c>
      <c r="E31" t="inlineStr">
        <is>
          <t>active</t>
        </is>
      </c>
      <c r="F31" t="n">
        <v>20539</v>
      </c>
      <c r="G31" t="n">
        <v>7260</v>
      </c>
      <c r="H31" t="n">
        <v>245</v>
      </c>
      <c r="I31" t="n">
        <v>524</v>
      </c>
      <c r="J31" t="n">
        <v>11</v>
      </c>
      <c r="K31" t="n">
        <v>2</v>
      </c>
      <c r="L31" t="n">
        <v>2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</row>
    <row r="32">
      <c r="A32" t="n">
        <v>86</v>
      </c>
      <c r="B32" t="inlineStr">
        <is>
          <t>Construction - Microsoft → Outlook (05_05)</t>
        </is>
      </c>
      <c r="C32" t="inlineStr">
        <is>
          <t>Construction</t>
        </is>
      </c>
      <c r="D32" t="inlineStr">
        <is>
          <t>Construction</t>
        </is>
      </c>
      <c r="E32" t="inlineStr">
        <is>
          <t>active</t>
        </is>
      </c>
      <c r="F32" t="n">
        <v>44480</v>
      </c>
      <c r="G32" t="n">
        <v>19301</v>
      </c>
      <c r="H32" t="n">
        <v>84</v>
      </c>
      <c r="I32" t="n">
        <v>199</v>
      </c>
      <c r="J32" t="n">
        <v>4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</row>
    <row r="33">
      <c r="A33" t="n">
        <v>87</v>
      </c>
      <c r="B33" t="inlineStr">
        <is>
          <t>Construction - Microsoft → Proofpoint (05_05)</t>
        </is>
      </c>
      <c r="C33" t="inlineStr">
        <is>
          <t>Construction</t>
        </is>
      </c>
      <c r="D33" t="inlineStr">
        <is>
          <t>Construction</t>
        </is>
      </c>
      <c r="E33" t="inlineStr">
        <is>
          <t>active</t>
        </is>
      </c>
      <c r="F33" t="n">
        <v>7646</v>
      </c>
      <c r="G33" t="n">
        <v>3168</v>
      </c>
      <c r="H33" t="n">
        <v>4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74</v>
      </c>
      <c r="B34" t="inlineStr">
        <is>
          <t>Google Ads (Stopped) - Microsoft → Outlook (30_04)</t>
        </is>
      </c>
      <c r="C34" t="inlineStr">
        <is>
          <t>Google Ads (Stopped)</t>
        </is>
      </c>
      <c r="D34" t="inlineStr">
        <is>
          <t>Google Ads</t>
        </is>
      </c>
      <c r="E34" t="inlineStr">
        <is>
          <t>active</t>
        </is>
      </c>
      <c r="F34" t="n">
        <v>1957</v>
      </c>
      <c r="G34" t="n">
        <v>669</v>
      </c>
      <c r="H34" t="n">
        <v>8</v>
      </c>
      <c r="I34" t="n">
        <v>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75</v>
      </c>
      <c r="B35" t="inlineStr">
        <is>
          <t>Google Ads (Stopped) - Microsoft → Proofpoint (30_04)</t>
        </is>
      </c>
      <c r="C35" t="inlineStr">
        <is>
          <t>Google Ads (Stopped)</t>
        </is>
      </c>
      <c r="D35" t="inlineStr">
        <is>
          <t>Google Ads</t>
        </is>
      </c>
      <c r="E35" t="inlineStr">
        <is>
          <t>active</t>
        </is>
      </c>
      <c r="F35" t="n">
        <v>219</v>
      </c>
      <c r="G35" t="n">
        <v>144</v>
      </c>
      <c r="H35" t="n">
        <v>1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73</v>
      </c>
      <c r="B36" t="inlineStr">
        <is>
          <t>Google Ads (Stopped) - Google → Custom+Misc (30_04)</t>
        </is>
      </c>
      <c r="C36" t="inlineStr">
        <is>
          <t>Google Ads (Stopped)</t>
        </is>
      </c>
      <c r="D36" t="inlineStr">
        <is>
          <t>Google Ads</t>
        </is>
      </c>
      <c r="E36" t="inlineStr">
        <is>
          <t>completed</t>
        </is>
      </c>
      <c r="F36" t="n">
        <v>1477</v>
      </c>
      <c r="G36" t="n">
        <v>512</v>
      </c>
      <c r="H36" t="n">
        <v>26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72</v>
      </c>
      <c r="B37" t="inlineStr">
        <is>
          <t>Google Ads (Stopped) - Google → Google (30_04)</t>
        </is>
      </c>
      <c r="C37" t="inlineStr">
        <is>
          <t>Google Ads (Stopped)</t>
        </is>
      </c>
      <c r="D37" t="inlineStr">
        <is>
          <t>Google Ads</t>
        </is>
      </c>
      <c r="E37" t="inlineStr">
        <is>
          <t>completed</t>
        </is>
      </c>
      <c r="F37" t="n">
        <v>3049</v>
      </c>
      <c r="G37" t="n">
        <v>1048</v>
      </c>
      <c r="H37" t="n">
        <v>59</v>
      </c>
      <c r="I37" t="n">
        <v>9</v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</row>
    <row r="38">
      <c r="A38" t="n">
        <v>71</v>
      </c>
      <c r="B38" t="inlineStr">
        <is>
          <t>Google Ads (Running) - Microsoft → Proofpoint (30_04)</t>
        </is>
      </c>
      <c r="C38" t="inlineStr">
        <is>
          <t>Google Ads (Running)</t>
        </is>
      </c>
      <c r="D38" t="inlineStr">
        <is>
          <t>Google Ads</t>
        </is>
      </c>
      <c r="E38" t="inlineStr">
        <is>
          <t>active</t>
        </is>
      </c>
      <c r="F38" t="n">
        <v>666</v>
      </c>
      <c r="G38" t="n">
        <v>580</v>
      </c>
      <c r="H38" t="n">
        <v>3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70</v>
      </c>
      <c r="B39" t="inlineStr">
        <is>
          <t>Google Ads (Running) - Microsoft → Outlook (30_04)</t>
        </is>
      </c>
      <c r="C39" t="inlineStr">
        <is>
          <t>Google Ads (Running)</t>
        </is>
      </c>
      <c r="D39" t="inlineStr">
        <is>
          <t>Google Ads</t>
        </is>
      </c>
      <c r="E39" t="inlineStr">
        <is>
          <t>active</t>
        </is>
      </c>
      <c r="F39" t="n">
        <v>3808</v>
      </c>
      <c r="G39" t="n">
        <v>2687</v>
      </c>
      <c r="H39" t="n">
        <v>22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69</v>
      </c>
      <c r="B40" t="inlineStr">
        <is>
          <t>Google Ads (Running) - Google → Custom+Misc (30_04)</t>
        </is>
      </c>
      <c r="C40" t="inlineStr">
        <is>
          <t>Google Ads (Running)</t>
        </is>
      </c>
      <c r="D40" t="inlineStr">
        <is>
          <t>Google Ads</t>
        </is>
      </c>
      <c r="E40" t="inlineStr">
        <is>
          <t>completed</t>
        </is>
      </c>
      <c r="F40" t="n">
        <v>7073</v>
      </c>
      <c r="G40" t="n">
        <v>2452</v>
      </c>
      <c r="H40" t="n">
        <v>98</v>
      </c>
      <c r="I40" t="n">
        <v>95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68</v>
      </c>
      <c r="B41" t="inlineStr">
        <is>
          <t>Google Ads (Running) - Google → Google (30_04)</t>
        </is>
      </c>
      <c r="C41" t="inlineStr">
        <is>
          <t>Google Ads (Running)</t>
        </is>
      </c>
      <c r="D41" t="inlineStr">
        <is>
          <t>Google Ads</t>
        </is>
      </c>
      <c r="E41" t="inlineStr">
        <is>
          <t>active</t>
        </is>
      </c>
      <c r="F41" t="n">
        <v>12609</v>
      </c>
      <c r="G41" t="n">
        <v>4369</v>
      </c>
      <c r="H41" t="n">
        <v>192</v>
      </c>
      <c r="I41" t="n">
        <v>43</v>
      </c>
      <c r="J41" t="n">
        <v>8</v>
      </c>
      <c r="K41" t="n">
        <v>2</v>
      </c>
      <c r="L41" t="n">
        <v>1</v>
      </c>
      <c r="M41" t="n">
        <v>0</v>
      </c>
      <c r="N41" t="n">
        <v>1</v>
      </c>
      <c r="O41" t="n">
        <v>2</v>
      </c>
      <c r="P41" t="n">
        <v>0</v>
      </c>
      <c r="Q41" t="n">
        <v>0</v>
      </c>
      <c r="R41" t="n">
        <v>0</v>
      </c>
    </row>
    <row r="42">
      <c r="A42" t="n">
        <v>8</v>
      </c>
      <c r="B42" t="inlineStr">
        <is>
          <t>MFG Outbound - Microsoft → Proofpoint (11_03)</t>
        </is>
      </c>
      <c r="C42" t="inlineStr">
        <is>
          <t>Manufacturing</t>
        </is>
      </c>
      <c r="D42" t="inlineStr">
        <is>
          <t>Manufacturing</t>
        </is>
      </c>
      <c r="E42" t="inlineStr">
        <is>
          <t>active</t>
        </is>
      </c>
      <c r="F42" t="n">
        <v>46965</v>
      </c>
      <c r="G42" t="n">
        <v>14868</v>
      </c>
      <c r="H42" t="n">
        <v>47</v>
      </c>
      <c r="I42" t="n">
        <v>316</v>
      </c>
      <c r="J42" t="n">
        <v>3</v>
      </c>
      <c r="K42" t="n">
        <v>2</v>
      </c>
      <c r="L42" t="n">
        <v>1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</row>
    <row r="43">
      <c r="A43" t="n">
        <v>7</v>
      </c>
      <c r="B43" t="inlineStr">
        <is>
          <t>MFG Outbound - Microsoft → Outlook (11_03)</t>
        </is>
      </c>
      <c r="C43" t="inlineStr">
        <is>
          <t>Manufacturing</t>
        </is>
      </c>
      <c r="D43" t="inlineStr">
        <is>
          <t>Manufacturing</t>
        </is>
      </c>
      <c r="E43" t="inlineStr">
        <is>
          <t>active</t>
        </is>
      </c>
      <c r="F43" t="n">
        <v>408081</v>
      </c>
      <c r="G43" t="n">
        <v>133975</v>
      </c>
      <c r="H43" t="n">
        <v>3101</v>
      </c>
      <c r="I43" t="n">
        <v>3979</v>
      </c>
      <c r="J43" t="n">
        <v>146</v>
      </c>
      <c r="K43" t="n">
        <v>33</v>
      </c>
      <c r="L43" t="n">
        <v>22</v>
      </c>
      <c r="M43" t="n">
        <v>0</v>
      </c>
      <c r="N43" t="n">
        <v>11</v>
      </c>
      <c r="O43" t="n">
        <v>33</v>
      </c>
      <c r="P43" t="n">
        <v>1</v>
      </c>
      <c r="Q43" t="n">
        <v>7740</v>
      </c>
      <c r="R43" t="n">
        <v>645</v>
      </c>
    </row>
    <row r="44">
      <c r="A44" t="n">
        <v>6</v>
      </c>
      <c r="B44" t="inlineStr">
        <is>
          <t>MFG Outbound - Google → Custom+Misc (11_03)</t>
        </is>
      </c>
      <c r="C44" t="inlineStr">
        <is>
          <t>Manufacturing</t>
        </is>
      </c>
      <c r="D44" t="inlineStr">
        <is>
          <t>Manufacturing</t>
        </is>
      </c>
      <c r="E44" t="inlineStr">
        <is>
          <t>active</t>
        </is>
      </c>
      <c r="F44" t="n">
        <v>205523</v>
      </c>
      <c r="G44" t="n">
        <v>56079</v>
      </c>
      <c r="H44" t="n">
        <v>2838</v>
      </c>
      <c r="I44" t="n">
        <v>5308</v>
      </c>
      <c r="J44" t="n">
        <v>100</v>
      </c>
      <c r="K44" t="n">
        <v>18</v>
      </c>
      <c r="L44" t="n">
        <v>13</v>
      </c>
      <c r="M44" t="n">
        <v>0</v>
      </c>
      <c r="N44" t="n">
        <v>5</v>
      </c>
      <c r="O44" t="n">
        <v>18</v>
      </c>
      <c r="P44" t="n">
        <v>2</v>
      </c>
      <c r="Q44" t="n">
        <v>24000</v>
      </c>
      <c r="R44" t="n">
        <v>2000</v>
      </c>
    </row>
    <row r="45">
      <c r="A45" t="n">
        <v>5</v>
      </c>
      <c r="B45" t="inlineStr">
        <is>
          <t>MFG Outbound - Google → Google (11_03)</t>
        </is>
      </c>
      <c r="C45" t="inlineStr">
        <is>
          <t>Manufacturing</t>
        </is>
      </c>
      <c r="D45" t="inlineStr">
        <is>
          <t>Manufacturing</t>
        </is>
      </c>
      <c r="E45" t="inlineStr">
        <is>
          <t>active</t>
        </is>
      </c>
      <c r="F45" t="n">
        <v>176301</v>
      </c>
      <c r="G45" t="n">
        <v>45638</v>
      </c>
      <c r="H45" t="n">
        <v>1756</v>
      </c>
      <c r="I45" t="n">
        <v>1110</v>
      </c>
      <c r="J45" t="n">
        <v>132</v>
      </c>
      <c r="K45" t="n">
        <v>38</v>
      </c>
      <c r="L45" t="n">
        <v>26</v>
      </c>
      <c r="M45" t="n">
        <v>0</v>
      </c>
      <c r="N45" t="n">
        <v>12</v>
      </c>
      <c r="O45" t="n">
        <v>38</v>
      </c>
      <c r="P45" t="n">
        <v>3</v>
      </c>
      <c r="Q45" t="n">
        <v>31200</v>
      </c>
      <c r="R45" t="n">
        <v>2600</v>
      </c>
    </row>
    <row r="46">
      <c r="A46" t="n">
        <v>2</v>
      </c>
      <c r="B46" t="inlineStr">
        <is>
          <t>Mfg (gush domain) - Batch 1 (05/03</t>
        </is>
      </c>
      <c r="C46" t="inlineStr">
        <is>
          <t>Manufacturing</t>
        </is>
      </c>
      <c r="D46" t="inlineStr">
        <is>
          <t>Manufacturing</t>
        </is>
      </c>
      <c r="E46" t="inlineStr">
        <is>
          <t>active</t>
        </is>
      </c>
      <c r="F46" t="n">
        <v>57888</v>
      </c>
      <c r="G46" t="n">
        <v>17546</v>
      </c>
      <c r="H46" t="n">
        <v>564</v>
      </c>
      <c r="I46" t="n">
        <v>2111</v>
      </c>
      <c r="J46" t="n">
        <v>25</v>
      </c>
      <c r="K46" t="n">
        <v>3</v>
      </c>
      <c r="L46" t="n">
        <v>3</v>
      </c>
      <c r="M46" t="n">
        <v>0</v>
      </c>
      <c r="N46" t="n">
        <v>0</v>
      </c>
      <c r="O46" t="n">
        <v>3</v>
      </c>
      <c r="P46" t="n">
        <v>1</v>
      </c>
      <c r="Q46" t="n">
        <v>6720</v>
      </c>
      <c r="R46" t="n">
        <v>560</v>
      </c>
    </row>
    <row r="47">
      <c r="A47" t="n">
        <v>1</v>
      </c>
      <c r="B47" t="inlineStr">
        <is>
          <t>MFG Outbound 1</t>
        </is>
      </c>
      <c r="C47" t="inlineStr">
        <is>
          <t>Manufacturing</t>
        </is>
      </c>
      <c r="D47" t="inlineStr">
        <is>
          <t>Manufacturing</t>
        </is>
      </c>
      <c r="E47" t="inlineStr">
        <is>
          <t>completed</t>
        </is>
      </c>
      <c r="F47" t="n">
        <v>1</v>
      </c>
      <c r="G47" t="n">
        <v>1</v>
      </c>
      <c r="H47" t="n">
        <v>4</v>
      </c>
      <c r="I47" t="n">
        <v>0</v>
      </c>
      <c r="J47" t="n">
        <v>1</v>
      </c>
      <c r="K47" t="n">
        <v>3</v>
      </c>
      <c r="L47" t="n">
        <v>0</v>
      </c>
      <c r="M47" t="n">
        <v>0</v>
      </c>
      <c r="N47" t="n">
        <v>3</v>
      </c>
      <c r="O47" t="n">
        <v>3</v>
      </c>
      <c r="P47" t="n">
        <v>0</v>
      </c>
      <c r="Q47" t="n">
        <v>0</v>
      </c>
      <c r="R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6" customWidth="1" min="3" max="3"/>
    <col width="16" customWidth="1" min="4" max="4"/>
  </cols>
  <sheetData>
    <row r="1">
      <c r="A1" s="3" t="inlineStr">
        <is>
          <t>Industry</t>
        </is>
      </c>
      <c r="B1" s="3" t="inlineStr">
        <is>
          <t>Cell ref</t>
        </is>
      </c>
    </row>
    <row r="2">
      <c r="A2" s="3" t="inlineStr">
        <is>
          <t>Business Services (1-5)</t>
        </is>
      </c>
      <c r="B2" s="4" t="inlineStr">
        <is>
          <t>used by all formulas below ↓</t>
        </is>
      </c>
    </row>
    <row r="4">
      <c r="A4" s="2" t="inlineStr">
        <is>
          <t>Metric</t>
        </is>
      </c>
      <c r="B4" s="2" t="inlineStr">
        <is>
          <t>Business Services (1-5)</t>
        </is>
      </c>
      <c r="C4" s="2" t="inlineStr">
        <is>
          <t>Manufacturing (benchmark)</t>
        </is>
      </c>
      <c r="D4" s="2" t="inlineStr">
        <is>
          <t>Index vs MFG</t>
        </is>
      </c>
    </row>
    <row r="5">
      <c r="A5" s="5" t="inlineStr">
        <is>
          <t>EMAIL</t>
        </is>
      </c>
      <c r="B5" s="6" t="n"/>
      <c r="C5" s="6" t="n"/>
      <c r="D5" s="6" t="n"/>
    </row>
    <row r="6">
      <c r="A6" s="7" t="inlineStr">
        <is>
          <t>Emails Sent</t>
        </is>
      </c>
      <c r="B6" s="8">
        <f>SUMIFS(Variables!F2:F47, Variables!C2:C47,"Business Services (1-5)")</f>
        <v/>
      </c>
      <c r="C6" s="8">
        <f>SUMIFS(Variables!F2:F47, Variables!C2:C47,"Manufacturing")</f>
        <v/>
      </c>
      <c r="D6" s="9">
        <f>IFERROR(B6/C6,"")</f>
        <v/>
      </c>
    </row>
    <row r="7">
      <c r="A7" s="7" t="inlineStr">
        <is>
          <t>Leads Contacted</t>
        </is>
      </c>
      <c r="B7" s="8">
        <f>SUMIFS(Variables!G2:G47, Variables!C2:C47,"Business Services (1-5)")</f>
        <v/>
      </c>
      <c r="C7" s="8">
        <f>SUMIFS(Variables!G2:G47, Variables!C2:C47,"Manufacturing")</f>
        <v/>
      </c>
      <c r="D7" s="9">
        <f>IFERROR(B7/C7,"")</f>
        <v/>
      </c>
    </row>
    <row r="8">
      <c r="A8" s="7" t="inlineStr">
        <is>
          <t>Replied (total)</t>
        </is>
      </c>
      <c r="B8" s="8">
        <f>SUMIFS(Variables!H2:H47, Variables!C2:C47,"Business Services (1-5)")</f>
        <v/>
      </c>
      <c r="C8" s="8">
        <f>SUMIFS(Variables!H2:H47, Variables!C2:C47,"Manufacturing")</f>
        <v/>
      </c>
      <c r="D8" s="9">
        <f>IFERROR(B8/C8,"")</f>
        <v/>
      </c>
    </row>
    <row r="9">
      <c r="A9" s="7" t="inlineStr">
        <is>
          <t>Reply Rate (per lead)</t>
        </is>
      </c>
      <c r="B9" s="10">
        <f>IFERROR((SUMIFS(Variables!H2:H47, Variables!C2:C47,"Business Services (1-5)"))/(SUMIFS(Variables!G2:G47, Variables!C2:C47,"Business Services (1-5)")),0)</f>
        <v/>
      </c>
      <c r="C9" s="10">
        <f>IFERROR((SUMIFS(Variables!H2:H47, Variables!C2:C47,"Manufacturing"))/(SUMIFS(Variables!G2:G47, Variables!C2:C47,"Manufacturing")),0)</f>
        <v/>
      </c>
      <c r="D9" s="9">
        <f>IFERROR(B9/C9,"")</f>
        <v/>
      </c>
    </row>
    <row r="10">
      <c r="A10" s="7" t="inlineStr">
        <is>
          <t>Bounced</t>
        </is>
      </c>
      <c r="B10" s="8">
        <f>SUMIFS(Variables!I2:I47, Variables!C2:C47,"Business Services (1-5)")</f>
        <v/>
      </c>
      <c r="C10" s="8">
        <f>SUMIFS(Variables!I2:I47, Variables!C2:C47,"Manufacturing")</f>
        <v/>
      </c>
      <c r="D10" s="9">
        <f>IFERROR(B10/C10,"")</f>
        <v/>
      </c>
    </row>
    <row r="11">
      <c r="A11" s="7" t="inlineStr">
        <is>
          <t>Bounce % (per lead)</t>
        </is>
      </c>
      <c r="B11" s="10">
        <f>IFERROR((SUMIFS(Variables!I2:I47, Variables!C2:C47,"Business Services (1-5)"))/(SUMIFS(Variables!G2:G47, Variables!C2:C47,"Business Services (1-5)")),0)</f>
        <v/>
      </c>
      <c r="C11" s="10">
        <f>IFERROR((SUMIFS(Variables!I2:I47, Variables!C2:C47,"Manufacturing"))/(SUMIFS(Variables!G2:G47, Variables!C2:C47,"Manufacturing")),0)</f>
        <v/>
      </c>
      <c r="D11" s="9">
        <f>IFERROR(B11/C11,"")</f>
        <v/>
      </c>
    </row>
    <row r="12">
      <c r="A12" s="7" t="inlineStr">
        <is>
          <t>Interested Replies</t>
        </is>
      </c>
      <c r="B12" s="8">
        <f>SUMIFS(Variables!J2:J47, Variables!C2:C47,"Business Services (1-5)")</f>
        <v/>
      </c>
      <c r="C12" s="8">
        <f>SUMIFS(Variables!J2:J47, Variables!C2:C47,"Manufacturing")</f>
        <v/>
      </c>
      <c r="D12" s="9">
        <f>IFERROR(B12/C12,"")</f>
        <v/>
      </c>
    </row>
    <row r="13">
      <c r="A13" s="7" t="inlineStr">
        <is>
          <t>Interest Rate (per lead)</t>
        </is>
      </c>
      <c r="B13" s="11">
        <f>IFERROR((SUMIFS(Variables!J2:J47, Variables!C2:C47,"Business Services (1-5)"))/(SUMIFS(Variables!G2:G47, Variables!C2:C47,"Business Services (1-5)")),0)</f>
        <v/>
      </c>
      <c r="C13" s="11">
        <f>IFERROR((SUMIFS(Variables!J2:J47, Variables!C2:C47,"Manufacturing"))/(SUMIFS(Variables!G2:G47, Variables!C2:C47,"Manufacturing")),0)</f>
        <v/>
      </c>
      <c r="D13" s="9">
        <f>IFERROR(B13/C13,"")</f>
        <v/>
      </c>
    </row>
    <row r="14">
      <c r="A14" s="5" t="inlineStr">
        <is>
          <t>DEMOS</t>
        </is>
      </c>
      <c r="B14" s="6" t="n"/>
      <c r="C14" s="6" t="n"/>
      <c r="D14" s="6" t="n"/>
    </row>
    <row r="15">
      <c r="A15" s="7" t="inlineStr">
        <is>
          <t>Demos Booked</t>
        </is>
      </c>
      <c r="B15" s="8">
        <f>SUMIFS(Variables!K2:K47, Variables!C2:C47,"Business Services (1-5)")</f>
        <v/>
      </c>
      <c r="C15" s="8">
        <f>SUMIFS(Variables!K2:K47, Variables!C2:C47,"Manufacturing")</f>
        <v/>
      </c>
      <c r="D15" s="9">
        <f>IFERROR(B15/C15,"")</f>
        <v/>
      </c>
    </row>
    <row r="16">
      <c r="A16" s="7" t="inlineStr">
        <is>
          <t>Pending Demos</t>
        </is>
      </c>
      <c r="B16" s="8">
        <f>SUMIFS(Variables!M2:M47, Variables!C2:C47,"Business Services (1-5)")</f>
        <v/>
      </c>
      <c r="C16" s="8">
        <f>SUMIFS(Variables!M2:M47, Variables!C2:C47,"Manufacturing")</f>
        <v/>
      </c>
      <c r="D16" s="9">
        <f>IFERROR(B16/C16,"")</f>
        <v/>
      </c>
    </row>
    <row r="17">
      <c r="A17" s="7" t="inlineStr">
        <is>
          <t>Demos / Emails Sent</t>
        </is>
      </c>
      <c r="B17" s="11">
        <f>IFERROR((SUMIFS(Variables!K2:K47, Variables!C2:C47,"Business Services (1-5)"))/(SUMIFS(Variables!F2:F47, Variables!C2:C47,"Business Services (1-5)")),0)</f>
        <v/>
      </c>
      <c r="C17" s="11">
        <f>IFERROR((SUMIFS(Variables!K2:K47, Variables!C2:C47,"Manufacturing"))/(SUMIFS(Variables!F2:F47, Variables!C2:C47,"Manufacturing")),0)</f>
        <v/>
      </c>
      <c r="D17" s="9">
        <f>IFERROR(B17/C17,"")</f>
        <v/>
      </c>
    </row>
    <row r="18">
      <c r="A18" s="7" t="inlineStr">
        <is>
          <t>Demos / Leads Contacted</t>
        </is>
      </c>
      <c r="B18" s="11">
        <f>IFERROR((SUMIFS(Variables!K2:K47, Variables!C2:C47,"Business Services (1-5)"))/(SUMIFS(Variables!G2:G47, Variables!C2:C47,"Business Services (1-5)")),0)</f>
        <v/>
      </c>
      <c r="C18" s="11">
        <f>IFERROR((SUMIFS(Variables!K2:K47, Variables!C2:C47,"Manufacturing"))/(SUMIFS(Variables!G2:G47, Variables!C2:C47,"Manufacturing")),0)</f>
        <v/>
      </c>
      <c r="D18" s="9">
        <f>IFERROR(B18/C18,"")</f>
        <v/>
      </c>
    </row>
    <row r="19">
      <c r="A19" s="7" t="inlineStr">
        <is>
          <t>Demos / Interested</t>
        </is>
      </c>
      <c r="B19" s="10">
        <f>IFERROR((SUMIFS(Variables!K2:K47, Variables!C2:C47,"Business Services (1-5)"))/(SUMIFS(Variables!J2:J47, Variables!C2:C47,"Business Services (1-5)")),0)</f>
        <v/>
      </c>
      <c r="C19" s="10">
        <f>IFERROR((SUMIFS(Variables!K2:K47, Variables!C2:C47,"Manufacturing"))/(SUMIFS(Variables!J2:J47, Variables!C2:C47,"Manufacturing")),0)</f>
        <v/>
      </c>
      <c r="D19" s="9">
        <f>IFERROR(B19/C19,"")</f>
        <v/>
      </c>
    </row>
    <row r="20">
      <c r="A20" s="5" t="inlineStr">
        <is>
          <t>SHOW-UPS</t>
        </is>
      </c>
      <c r="B20" s="6" t="n"/>
      <c r="C20" s="6" t="n"/>
      <c r="D20" s="6" t="n"/>
    </row>
    <row r="21">
      <c r="A21" s="7" t="inlineStr">
        <is>
          <t>Total Show-ups</t>
        </is>
      </c>
      <c r="B21" s="8">
        <f>SUMIFS(Variables!L2:L47, Variables!C2:C47,"Business Services (1-5)")</f>
        <v/>
      </c>
      <c r="C21" s="8">
        <f>SUMIFS(Variables!L2:L47, Variables!C2:C47,"Manufacturing")</f>
        <v/>
      </c>
      <c r="D21" s="9">
        <f>IFERROR(B21/C21,"")</f>
        <v/>
      </c>
    </row>
    <row r="22">
      <c r="A22" s="7" t="inlineStr">
        <is>
          <t>No-shows</t>
        </is>
      </c>
      <c r="B22" s="8">
        <f>SUMIFS(Variables!N2:N47, Variables!C2:C47,"Business Services (1-5)")</f>
        <v/>
      </c>
      <c r="C22" s="8">
        <f>SUMIFS(Variables!N2:N47, Variables!C2:C47,"Manufacturing")</f>
        <v/>
      </c>
      <c r="D22" s="9">
        <f>IFERROR(B22/C22,"")</f>
        <v/>
      </c>
    </row>
    <row r="23">
      <c r="A23" s="7" t="inlineStr">
        <is>
          <t>Show-ups / Emails Sent</t>
        </is>
      </c>
      <c r="B23" s="11">
        <f>IFERROR((SUMIFS(Variables!L2:L47, Variables!C2:C47,"Business Services (1-5)"))/(SUMIFS(Variables!F2:F47, Variables!C2:C47,"Business Services (1-5)")),0)</f>
        <v/>
      </c>
      <c r="C23" s="11">
        <f>IFERROR((SUMIFS(Variables!L2:L47, Variables!C2:C47,"Manufacturing"))/(SUMIFS(Variables!F2:F47, Variables!C2:C47,"Manufacturing")),0)</f>
        <v/>
      </c>
      <c r="D23" s="9">
        <f>IFERROR(B23/C23,"")</f>
        <v/>
      </c>
    </row>
    <row r="24">
      <c r="A24" s="7" t="inlineStr">
        <is>
          <t>Show-ups / Leads Contacted</t>
        </is>
      </c>
      <c r="B24" s="11">
        <f>IFERROR((SUMIFS(Variables!L2:L47, Variables!C2:C47,"Business Services (1-5)"))/(SUMIFS(Variables!G2:G47, Variables!C2:C47,"Business Services (1-5)")),0)</f>
        <v/>
      </c>
      <c r="C24" s="11">
        <f>IFERROR((SUMIFS(Variables!L2:L47, Variables!C2:C47,"Manufacturing"))/(SUMIFS(Variables!G2:G47, Variables!C2:C47,"Manufacturing")),0)</f>
        <v/>
      </c>
      <c r="D24" s="9">
        <f>IFERROR(B24/C24,"")</f>
        <v/>
      </c>
    </row>
    <row r="25">
      <c r="A25" s="7" t="inlineStr">
        <is>
          <t>Show-up Rate (Shows / Completed)</t>
        </is>
      </c>
      <c r="B25" s="10">
        <f>IFERROR((SUMIFS(Variables!L2:L47, Variables!C2:C47,"Business Services (1-5)"))/(SUMIFS(Variables!O2:O47, Variables!C2:C47,"Business Services (1-5)")),0)</f>
        <v/>
      </c>
      <c r="C25" s="10">
        <f>IFERROR((SUMIFS(Variables!L2:L47, Variables!C2:C47,"Manufacturing"))/(SUMIFS(Variables!O2:O47, Variables!C2:C47,"Manufacturing")),0)</f>
        <v/>
      </c>
      <c r="D25" s="9">
        <f>IFERROR(B25/C25,"")</f>
        <v/>
      </c>
    </row>
    <row r="26">
      <c r="A26" s="7" t="inlineStr">
        <is>
          <t>Show-ups / Interested</t>
        </is>
      </c>
      <c r="B26" s="10">
        <f>IFERROR((SUMIFS(Variables!L2:L47, Variables!C2:C47,"Business Services (1-5)"))/(SUMIFS(Variables!J2:J47, Variables!C2:C47,"Business Services (1-5)")),0)</f>
        <v/>
      </c>
      <c r="C26" s="10">
        <f>IFERROR((SUMIFS(Variables!L2:L47, Variables!C2:C47,"Manufacturing"))/(SUMIFS(Variables!J2:J47, Variables!C2:C47,"Manufacturing")),0)</f>
        <v/>
      </c>
      <c r="D26" s="9">
        <f>IFERROR(B26/C26,"")</f>
        <v/>
      </c>
    </row>
    <row r="27">
      <c r="A27" s="5" t="inlineStr">
        <is>
          <t>CLOSED (ONBOARDINGS)</t>
        </is>
      </c>
      <c r="B27" s="6" t="n"/>
      <c r="C27" s="6" t="n"/>
      <c r="D27" s="6" t="n"/>
    </row>
    <row r="28">
      <c r="A28" s="7" t="inlineStr">
        <is>
          <t>Closed Deals</t>
        </is>
      </c>
      <c r="B28" s="8">
        <f>SUMIFS(Variables!P2:P47, Variables!C2:C47,"Business Services (1-5)")</f>
        <v/>
      </c>
      <c r="C28" s="8">
        <f>SUMIFS(Variables!P2:P47, Variables!C2:C47,"Manufacturing")</f>
        <v/>
      </c>
      <c r="D28" s="9">
        <f>IFERROR(B28/C28,"")</f>
        <v/>
      </c>
    </row>
    <row r="29">
      <c r="A29" s="7" t="inlineStr">
        <is>
          <t>ARR</t>
        </is>
      </c>
      <c r="B29" s="12">
        <f>SUMIFS(Variables!Q2:Q47, Variables!C2:C47,"Business Services (1-5)")</f>
        <v/>
      </c>
      <c r="C29" s="12">
        <f>SUMIFS(Variables!Q2:Q47, Variables!C2:C47,"Manufacturing")</f>
        <v/>
      </c>
      <c r="D29" s="9">
        <f>IFERROR(B29/C29,"")</f>
        <v/>
      </c>
    </row>
    <row r="30">
      <c r="A30" s="7" t="inlineStr">
        <is>
          <t>MRR</t>
        </is>
      </c>
      <c r="B30" s="12">
        <f>SUMIFS(Variables!R2:R47, Variables!C2:C47,"Business Services (1-5)")</f>
        <v/>
      </c>
      <c r="C30" s="12">
        <f>SUMIFS(Variables!R2:R47, Variables!C2:C47,"Manufacturing")</f>
        <v/>
      </c>
      <c r="D30" s="9">
        <f>IFERROR(B30/C30,"")</f>
        <v/>
      </c>
    </row>
    <row r="31">
      <c r="A31" s="7" t="inlineStr">
        <is>
          <t>Close / Demo</t>
        </is>
      </c>
      <c r="B31" s="10">
        <f>IFERROR((SUMIFS(Variables!P2:P47, Variables!C2:C47,"Business Services (1-5)"))/(SUMIFS(Variables!K2:K47, Variables!C2:C47,"Business Services (1-5)")),0)</f>
        <v/>
      </c>
      <c r="C31" s="10">
        <f>IFERROR((SUMIFS(Variables!P2:P47, Variables!C2:C47,"Manufacturing"))/(SUMIFS(Variables!K2:K47, Variables!C2:C47,"Manufacturing")),0)</f>
        <v/>
      </c>
      <c r="D31" s="9">
        <f>IFERROR(B31/C31,"")</f>
        <v/>
      </c>
    </row>
    <row r="32">
      <c r="A32" s="7" t="inlineStr">
        <is>
          <t>Close / Show-up</t>
        </is>
      </c>
      <c r="B32" s="10">
        <f>IFERROR((SUMIFS(Variables!P2:P47, Variables!C2:C47,"Business Services (1-5)"))/(SUMIFS(Variables!L2:L47, Variables!C2:C47,"Business Services (1-5)")),0)</f>
        <v/>
      </c>
      <c r="C32" s="10">
        <f>IFERROR((SUMIFS(Variables!P2:P47, Variables!C2:C47,"Manufacturing"))/(SUMIFS(Variables!L2:L47, Variables!C2:C47,"Manufacturing")),0)</f>
        <v/>
      </c>
      <c r="D32" s="9">
        <f>IFERROR(B32/C32,"")</f>
        <v/>
      </c>
    </row>
    <row r="33">
      <c r="A33" s="7" t="inlineStr">
        <is>
          <t>Close / Interested</t>
        </is>
      </c>
      <c r="B33" s="10">
        <f>IFERROR((SUMIFS(Variables!P2:P47, Variables!C2:C47,"Business Services (1-5)"))/(SUMIFS(Variables!J2:J47, Variables!C2:C47,"Business Services (1-5)")),0)</f>
        <v/>
      </c>
      <c r="C33" s="10">
        <f>IFERROR((SUMIFS(Variables!P2:P47, Variables!C2:C47,"Manufacturing"))/(SUMIFS(Variables!J2:J47, Variables!C2:C47,"Manufacturing")),0)</f>
        <v/>
      </c>
      <c r="D33" s="9">
        <f>IFERROR(B33/C33,"")</f>
        <v/>
      </c>
    </row>
    <row r="34">
      <c r="A34" s="7" t="inlineStr">
        <is>
          <t>Close / Lead</t>
        </is>
      </c>
      <c r="B34" s="11">
        <f>IFERROR((SUMIFS(Variables!P2:P47, Variables!C2:C47,"Business Services (1-5)"))/(SUMIFS(Variables!G2:G47, Variables!C2:C47,"Business Services (1-5)")),0)</f>
        <v/>
      </c>
      <c r="C34" s="11">
        <f>IFERROR((SUMIFS(Variables!P2:P47, Variables!C2:C47,"Manufacturing"))/(SUMIFS(Variables!G2:G47, Variables!C2:C47,"Manufacturing")),0)</f>
        <v/>
      </c>
      <c r="D34" s="9">
        <f>IFERROR(B34/C34,"")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6" customWidth="1" min="3" max="3"/>
    <col width="16" customWidth="1" min="4" max="4"/>
  </cols>
  <sheetData>
    <row r="1">
      <c r="A1" s="3" t="inlineStr">
        <is>
          <t>Industry</t>
        </is>
      </c>
      <c r="B1" s="3" t="inlineStr">
        <is>
          <t>Cell ref</t>
        </is>
      </c>
    </row>
    <row r="2">
      <c r="A2" s="3" t="inlineStr">
        <is>
          <t>Mix Services (1-5)</t>
        </is>
      </c>
      <c r="B2" s="4" t="inlineStr">
        <is>
          <t>used by all formulas below ↓</t>
        </is>
      </c>
    </row>
    <row r="4">
      <c r="A4" s="2" t="inlineStr">
        <is>
          <t>Metric</t>
        </is>
      </c>
      <c r="B4" s="2" t="inlineStr">
        <is>
          <t>Mix Services (1-5)</t>
        </is>
      </c>
      <c r="C4" s="2" t="inlineStr">
        <is>
          <t>Manufacturing (benchmark)</t>
        </is>
      </c>
      <c r="D4" s="2" t="inlineStr">
        <is>
          <t>Index vs MFG</t>
        </is>
      </c>
    </row>
    <row r="5">
      <c r="A5" s="5" t="inlineStr">
        <is>
          <t>EMAIL</t>
        </is>
      </c>
      <c r="B5" s="6" t="n"/>
      <c r="C5" s="6" t="n"/>
      <c r="D5" s="6" t="n"/>
    </row>
    <row r="6">
      <c r="A6" s="7" t="inlineStr">
        <is>
          <t>Emails Sent</t>
        </is>
      </c>
      <c r="B6" s="8">
        <f>SUMIFS(Variables!F2:F47, Variables!C2:C47,"Mix Services (1-5)")</f>
        <v/>
      </c>
      <c r="C6" s="8">
        <f>SUMIFS(Variables!F2:F47, Variables!C2:C47,"Manufacturing")</f>
        <v/>
      </c>
      <c r="D6" s="9">
        <f>IFERROR(B6/C6,"")</f>
        <v/>
      </c>
    </row>
    <row r="7">
      <c r="A7" s="7" t="inlineStr">
        <is>
          <t>Leads Contacted</t>
        </is>
      </c>
      <c r="B7" s="8">
        <f>SUMIFS(Variables!G2:G47, Variables!C2:C47,"Mix Services (1-5)")</f>
        <v/>
      </c>
      <c r="C7" s="8">
        <f>SUMIFS(Variables!G2:G47, Variables!C2:C47,"Manufacturing")</f>
        <v/>
      </c>
      <c r="D7" s="9">
        <f>IFERROR(B7/C7,"")</f>
        <v/>
      </c>
    </row>
    <row r="8">
      <c r="A8" s="7" t="inlineStr">
        <is>
          <t>Replied (total)</t>
        </is>
      </c>
      <c r="B8" s="8">
        <f>SUMIFS(Variables!H2:H47, Variables!C2:C47,"Mix Services (1-5)")</f>
        <v/>
      </c>
      <c r="C8" s="8">
        <f>SUMIFS(Variables!H2:H47, Variables!C2:C47,"Manufacturing")</f>
        <v/>
      </c>
      <c r="D8" s="9">
        <f>IFERROR(B8/C8,"")</f>
        <v/>
      </c>
    </row>
    <row r="9">
      <c r="A9" s="7" t="inlineStr">
        <is>
          <t>Reply Rate (per lead)</t>
        </is>
      </c>
      <c r="B9" s="10">
        <f>IFERROR((SUMIFS(Variables!H2:H47, Variables!C2:C47,"Mix Services (1-5)"))/(SUMIFS(Variables!G2:G47, Variables!C2:C47,"Mix Services (1-5)")),0)</f>
        <v/>
      </c>
      <c r="C9" s="10">
        <f>IFERROR((SUMIFS(Variables!H2:H47, Variables!C2:C47,"Manufacturing"))/(SUMIFS(Variables!G2:G47, Variables!C2:C47,"Manufacturing")),0)</f>
        <v/>
      </c>
      <c r="D9" s="9">
        <f>IFERROR(B9/C9,"")</f>
        <v/>
      </c>
    </row>
    <row r="10">
      <c r="A10" s="7" t="inlineStr">
        <is>
          <t>Bounced</t>
        </is>
      </c>
      <c r="B10" s="8">
        <f>SUMIFS(Variables!I2:I47, Variables!C2:C47,"Mix Services (1-5)")</f>
        <v/>
      </c>
      <c r="C10" s="8">
        <f>SUMIFS(Variables!I2:I47, Variables!C2:C47,"Manufacturing")</f>
        <v/>
      </c>
      <c r="D10" s="9">
        <f>IFERROR(B10/C10,"")</f>
        <v/>
      </c>
    </row>
    <row r="11">
      <c r="A11" s="7" t="inlineStr">
        <is>
          <t>Bounce % (per lead)</t>
        </is>
      </c>
      <c r="B11" s="10">
        <f>IFERROR((SUMIFS(Variables!I2:I47, Variables!C2:C47,"Mix Services (1-5)"))/(SUMIFS(Variables!G2:G47, Variables!C2:C47,"Mix Services (1-5)")),0)</f>
        <v/>
      </c>
      <c r="C11" s="10">
        <f>IFERROR((SUMIFS(Variables!I2:I47, Variables!C2:C47,"Manufacturing"))/(SUMIFS(Variables!G2:G47, Variables!C2:C47,"Manufacturing")),0)</f>
        <v/>
      </c>
      <c r="D11" s="9">
        <f>IFERROR(B11/C11,"")</f>
        <v/>
      </c>
    </row>
    <row r="12">
      <c r="A12" s="7" t="inlineStr">
        <is>
          <t>Interested Replies</t>
        </is>
      </c>
      <c r="B12" s="8">
        <f>SUMIFS(Variables!J2:J47, Variables!C2:C47,"Mix Services (1-5)")</f>
        <v/>
      </c>
      <c r="C12" s="8">
        <f>SUMIFS(Variables!J2:J47, Variables!C2:C47,"Manufacturing")</f>
        <v/>
      </c>
      <c r="D12" s="9">
        <f>IFERROR(B12/C12,"")</f>
        <v/>
      </c>
    </row>
    <row r="13">
      <c r="A13" s="7" t="inlineStr">
        <is>
          <t>Interest Rate (per lead)</t>
        </is>
      </c>
      <c r="B13" s="11">
        <f>IFERROR((SUMIFS(Variables!J2:J47, Variables!C2:C47,"Mix Services (1-5)"))/(SUMIFS(Variables!G2:G47, Variables!C2:C47,"Mix Services (1-5)")),0)</f>
        <v/>
      </c>
      <c r="C13" s="11">
        <f>IFERROR((SUMIFS(Variables!J2:J47, Variables!C2:C47,"Manufacturing"))/(SUMIFS(Variables!G2:G47, Variables!C2:C47,"Manufacturing")),0)</f>
        <v/>
      </c>
      <c r="D13" s="9">
        <f>IFERROR(B13/C13,"")</f>
        <v/>
      </c>
    </row>
    <row r="14">
      <c r="A14" s="5" t="inlineStr">
        <is>
          <t>DEMOS</t>
        </is>
      </c>
      <c r="B14" s="6" t="n"/>
      <c r="C14" s="6" t="n"/>
      <c r="D14" s="6" t="n"/>
    </row>
    <row r="15">
      <c r="A15" s="7" t="inlineStr">
        <is>
          <t>Demos Booked</t>
        </is>
      </c>
      <c r="B15" s="8">
        <f>SUMIFS(Variables!K2:K47, Variables!C2:C47,"Mix Services (1-5)")</f>
        <v/>
      </c>
      <c r="C15" s="8">
        <f>SUMIFS(Variables!K2:K47, Variables!C2:C47,"Manufacturing")</f>
        <v/>
      </c>
      <c r="D15" s="9">
        <f>IFERROR(B15/C15,"")</f>
        <v/>
      </c>
    </row>
    <row r="16">
      <c r="A16" s="7" t="inlineStr">
        <is>
          <t>Pending Demos</t>
        </is>
      </c>
      <c r="B16" s="8">
        <f>SUMIFS(Variables!M2:M47, Variables!C2:C47,"Mix Services (1-5)")</f>
        <v/>
      </c>
      <c r="C16" s="8">
        <f>SUMIFS(Variables!M2:M47, Variables!C2:C47,"Manufacturing")</f>
        <v/>
      </c>
      <c r="D16" s="9">
        <f>IFERROR(B16/C16,"")</f>
        <v/>
      </c>
    </row>
    <row r="17">
      <c r="A17" s="7" t="inlineStr">
        <is>
          <t>Demos / Emails Sent</t>
        </is>
      </c>
      <c r="B17" s="11">
        <f>IFERROR((SUMIFS(Variables!K2:K47, Variables!C2:C47,"Mix Services (1-5)"))/(SUMIFS(Variables!F2:F47, Variables!C2:C47,"Mix Services (1-5)")),0)</f>
        <v/>
      </c>
      <c r="C17" s="11">
        <f>IFERROR((SUMIFS(Variables!K2:K47, Variables!C2:C47,"Manufacturing"))/(SUMIFS(Variables!F2:F47, Variables!C2:C47,"Manufacturing")),0)</f>
        <v/>
      </c>
      <c r="D17" s="9">
        <f>IFERROR(B17/C17,"")</f>
        <v/>
      </c>
    </row>
    <row r="18">
      <c r="A18" s="7" t="inlineStr">
        <is>
          <t>Demos / Leads Contacted</t>
        </is>
      </c>
      <c r="B18" s="11">
        <f>IFERROR((SUMIFS(Variables!K2:K47, Variables!C2:C47,"Mix Services (1-5)"))/(SUMIFS(Variables!G2:G47, Variables!C2:C47,"Mix Services (1-5)")),0)</f>
        <v/>
      </c>
      <c r="C18" s="11">
        <f>IFERROR((SUMIFS(Variables!K2:K47, Variables!C2:C47,"Manufacturing"))/(SUMIFS(Variables!G2:G47, Variables!C2:C47,"Manufacturing")),0)</f>
        <v/>
      </c>
      <c r="D18" s="9">
        <f>IFERROR(B18/C18,"")</f>
        <v/>
      </c>
    </row>
    <row r="19">
      <c r="A19" s="7" t="inlineStr">
        <is>
          <t>Demos / Interested</t>
        </is>
      </c>
      <c r="B19" s="10">
        <f>IFERROR((SUMIFS(Variables!K2:K47, Variables!C2:C47,"Mix Services (1-5)"))/(SUMIFS(Variables!J2:J47, Variables!C2:C47,"Mix Services (1-5)")),0)</f>
        <v/>
      </c>
      <c r="C19" s="10">
        <f>IFERROR((SUMIFS(Variables!K2:K47, Variables!C2:C47,"Manufacturing"))/(SUMIFS(Variables!J2:J47, Variables!C2:C47,"Manufacturing")),0)</f>
        <v/>
      </c>
      <c r="D19" s="9">
        <f>IFERROR(B19/C19,"")</f>
        <v/>
      </c>
    </row>
    <row r="20">
      <c r="A20" s="5" t="inlineStr">
        <is>
          <t>SHOW-UPS</t>
        </is>
      </c>
      <c r="B20" s="6" t="n"/>
      <c r="C20" s="6" t="n"/>
      <c r="D20" s="6" t="n"/>
    </row>
    <row r="21">
      <c r="A21" s="7" t="inlineStr">
        <is>
          <t>Total Show-ups</t>
        </is>
      </c>
      <c r="B21" s="8">
        <f>SUMIFS(Variables!L2:L47, Variables!C2:C47,"Mix Services (1-5)")</f>
        <v/>
      </c>
      <c r="C21" s="8">
        <f>SUMIFS(Variables!L2:L47, Variables!C2:C47,"Manufacturing")</f>
        <v/>
      </c>
      <c r="D21" s="9">
        <f>IFERROR(B21/C21,"")</f>
        <v/>
      </c>
    </row>
    <row r="22">
      <c r="A22" s="7" t="inlineStr">
        <is>
          <t>No-shows</t>
        </is>
      </c>
      <c r="B22" s="8">
        <f>SUMIFS(Variables!N2:N47, Variables!C2:C47,"Mix Services (1-5)")</f>
        <v/>
      </c>
      <c r="C22" s="8">
        <f>SUMIFS(Variables!N2:N47, Variables!C2:C47,"Manufacturing")</f>
        <v/>
      </c>
      <c r="D22" s="9">
        <f>IFERROR(B22/C22,"")</f>
        <v/>
      </c>
    </row>
    <row r="23">
      <c r="A23" s="7" t="inlineStr">
        <is>
          <t>Show-ups / Emails Sent</t>
        </is>
      </c>
      <c r="B23" s="11">
        <f>IFERROR((SUMIFS(Variables!L2:L47, Variables!C2:C47,"Mix Services (1-5)"))/(SUMIFS(Variables!F2:F47, Variables!C2:C47,"Mix Services (1-5)")),0)</f>
        <v/>
      </c>
      <c r="C23" s="11">
        <f>IFERROR((SUMIFS(Variables!L2:L47, Variables!C2:C47,"Manufacturing"))/(SUMIFS(Variables!F2:F47, Variables!C2:C47,"Manufacturing")),0)</f>
        <v/>
      </c>
      <c r="D23" s="9">
        <f>IFERROR(B23/C23,"")</f>
        <v/>
      </c>
    </row>
    <row r="24">
      <c r="A24" s="7" t="inlineStr">
        <is>
          <t>Show-ups / Leads Contacted</t>
        </is>
      </c>
      <c r="B24" s="11">
        <f>IFERROR((SUMIFS(Variables!L2:L47, Variables!C2:C47,"Mix Services (1-5)"))/(SUMIFS(Variables!G2:G47, Variables!C2:C47,"Mix Services (1-5)")),0)</f>
        <v/>
      </c>
      <c r="C24" s="11">
        <f>IFERROR((SUMIFS(Variables!L2:L47, Variables!C2:C47,"Manufacturing"))/(SUMIFS(Variables!G2:G47, Variables!C2:C47,"Manufacturing")),0)</f>
        <v/>
      </c>
      <c r="D24" s="9">
        <f>IFERROR(B24/C24,"")</f>
        <v/>
      </c>
    </row>
    <row r="25">
      <c r="A25" s="7" t="inlineStr">
        <is>
          <t>Show-up Rate (Shows / Completed)</t>
        </is>
      </c>
      <c r="B25" s="10">
        <f>IFERROR((SUMIFS(Variables!L2:L47, Variables!C2:C47,"Mix Services (1-5)"))/(SUMIFS(Variables!O2:O47, Variables!C2:C47,"Mix Services (1-5)")),0)</f>
        <v/>
      </c>
      <c r="C25" s="10">
        <f>IFERROR((SUMIFS(Variables!L2:L47, Variables!C2:C47,"Manufacturing"))/(SUMIFS(Variables!O2:O47, Variables!C2:C47,"Manufacturing")),0)</f>
        <v/>
      </c>
      <c r="D25" s="9">
        <f>IFERROR(B25/C25,"")</f>
        <v/>
      </c>
    </row>
    <row r="26">
      <c r="A26" s="7" t="inlineStr">
        <is>
          <t>Show-ups / Interested</t>
        </is>
      </c>
      <c r="B26" s="10">
        <f>IFERROR((SUMIFS(Variables!L2:L47, Variables!C2:C47,"Mix Services (1-5)"))/(SUMIFS(Variables!J2:J47, Variables!C2:C47,"Mix Services (1-5)")),0)</f>
        <v/>
      </c>
      <c r="C26" s="10">
        <f>IFERROR((SUMIFS(Variables!L2:L47, Variables!C2:C47,"Manufacturing"))/(SUMIFS(Variables!J2:J47, Variables!C2:C47,"Manufacturing")),0)</f>
        <v/>
      </c>
      <c r="D26" s="9">
        <f>IFERROR(B26/C26,"")</f>
        <v/>
      </c>
    </row>
    <row r="27">
      <c r="A27" s="5" t="inlineStr">
        <is>
          <t>CLOSED (ONBOARDINGS)</t>
        </is>
      </c>
      <c r="B27" s="6" t="n"/>
      <c r="C27" s="6" t="n"/>
      <c r="D27" s="6" t="n"/>
    </row>
    <row r="28">
      <c r="A28" s="7" t="inlineStr">
        <is>
          <t>Closed Deals</t>
        </is>
      </c>
      <c r="B28" s="8">
        <f>SUMIFS(Variables!P2:P47, Variables!C2:C47,"Mix Services (1-5)")</f>
        <v/>
      </c>
      <c r="C28" s="8">
        <f>SUMIFS(Variables!P2:P47, Variables!C2:C47,"Manufacturing")</f>
        <v/>
      </c>
      <c r="D28" s="9">
        <f>IFERROR(B28/C28,"")</f>
        <v/>
      </c>
    </row>
    <row r="29">
      <c r="A29" s="7" t="inlineStr">
        <is>
          <t>ARR</t>
        </is>
      </c>
      <c r="B29" s="12">
        <f>SUMIFS(Variables!Q2:Q47, Variables!C2:C47,"Mix Services (1-5)")</f>
        <v/>
      </c>
      <c r="C29" s="12">
        <f>SUMIFS(Variables!Q2:Q47, Variables!C2:C47,"Manufacturing")</f>
        <v/>
      </c>
      <c r="D29" s="9">
        <f>IFERROR(B29/C29,"")</f>
        <v/>
      </c>
    </row>
    <row r="30">
      <c r="A30" s="7" t="inlineStr">
        <is>
          <t>MRR</t>
        </is>
      </c>
      <c r="B30" s="12">
        <f>SUMIFS(Variables!R2:R47, Variables!C2:C47,"Mix Services (1-5)")</f>
        <v/>
      </c>
      <c r="C30" s="12">
        <f>SUMIFS(Variables!R2:R47, Variables!C2:C47,"Manufacturing")</f>
        <v/>
      </c>
      <c r="D30" s="9">
        <f>IFERROR(B30/C30,"")</f>
        <v/>
      </c>
    </row>
    <row r="31">
      <c r="A31" s="7" t="inlineStr">
        <is>
          <t>Close / Demo</t>
        </is>
      </c>
      <c r="B31" s="10">
        <f>IFERROR((SUMIFS(Variables!P2:P47, Variables!C2:C47,"Mix Services (1-5)"))/(SUMIFS(Variables!K2:K47, Variables!C2:C47,"Mix Services (1-5)")),0)</f>
        <v/>
      </c>
      <c r="C31" s="10">
        <f>IFERROR((SUMIFS(Variables!P2:P47, Variables!C2:C47,"Manufacturing"))/(SUMIFS(Variables!K2:K47, Variables!C2:C47,"Manufacturing")),0)</f>
        <v/>
      </c>
      <c r="D31" s="9">
        <f>IFERROR(B31/C31,"")</f>
        <v/>
      </c>
    </row>
    <row r="32">
      <c r="A32" s="7" t="inlineStr">
        <is>
          <t>Close / Show-up</t>
        </is>
      </c>
      <c r="B32" s="10">
        <f>IFERROR((SUMIFS(Variables!P2:P47, Variables!C2:C47,"Mix Services (1-5)"))/(SUMIFS(Variables!L2:L47, Variables!C2:C47,"Mix Services (1-5)")),0)</f>
        <v/>
      </c>
      <c r="C32" s="10">
        <f>IFERROR((SUMIFS(Variables!P2:P47, Variables!C2:C47,"Manufacturing"))/(SUMIFS(Variables!L2:L47, Variables!C2:C47,"Manufacturing")),0)</f>
        <v/>
      </c>
      <c r="D32" s="9">
        <f>IFERROR(B32/C32,"")</f>
        <v/>
      </c>
    </row>
    <row r="33">
      <c r="A33" s="7" t="inlineStr">
        <is>
          <t>Close / Interested</t>
        </is>
      </c>
      <c r="B33" s="10">
        <f>IFERROR((SUMIFS(Variables!P2:P47, Variables!C2:C47,"Mix Services (1-5)"))/(SUMIFS(Variables!J2:J47, Variables!C2:C47,"Mix Services (1-5)")),0)</f>
        <v/>
      </c>
      <c r="C33" s="10">
        <f>IFERROR((SUMIFS(Variables!P2:P47, Variables!C2:C47,"Manufacturing"))/(SUMIFS(Variables!J2:J47, Variables!C2:C47,"Manufacturing")),0)</f>
        <v/>
      </c>
      <c r="D33" s="9">
        <f>IFERROR(B33/C33,"")</f>
        <v/>
      </c>
    </row>
    <row r="34">
      <c r="A34" s="7" t="inlineStr">
        <is>
          <t>Close / Lead</t>
        </is>
      </c>
      <c r="B34" s="11">
        <f>IFERROR((SUMIFS(Variables!P2:P47, Variables!C2:C47,"Mix Services (1-5)"))/(SUMIFS(Variables!G2:G47, Variables!C2:C47,"Mix Services (1-5)")),0)</f>
        <v/>
      </c>
      <c r="C34" s="11">
        <f>IFERROR((SUMIFS(Variables!P2:P47, Variables!C2:C47,"Manufacturing"))/(SUMIFS(Variables!G2:G47, Variables!C2:C47,"Manufacturing")),0)</f>
        <v/>
      </c>
      <c r="D34" s="9">
        <f>IFERROR(B34/C34,"")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6" customWidth="1" min="3" max="3"/>
    <col width="16" customWidth="1" min="4" max="4"/>
  </cols>
  <sheetData>
    <row r="1">
      <c r="A1" s="3" t="inlineStr">
        <is>
          <t>Industry</t>
        </is>
      </c>
      <c r="B1" s="3" t="inlineStr">
        <is>
          <t>Cell ref</t>
        </is>
      </c>
    </row>
    <row r="2">
      <c r="A2" s="3" t="inlineStr">
        <is>
          <t>Mix Services (5-200)</t>
        </is>
      </c>
      <c r="B2" s="4" t="inlineStr">
        <is>
          <t>used by all formulas below ↓</t>
        </is>
      </c>
    </row>
    <row r="4">
      <c r="A4" s="2" t="inlineStr">
        <is>
          <t>Metric</t>
        </is>
      </c>
      <c r="B4" s="2" t="inlineStr">
        <is>
          <t>Mix Services (5-200)</t>
        </is>
      </c>
      <c r="C4" s="2" t="inlineStr">
        <is>
          <t>Manufacturing (benchmark)</t>
        </is>
      </c>
      <c r="D4" s="2" t="inlineStr">
        <is>
          <t>Index vs MFG</t>
        </is>
      </c>
    </row>
    <row r="5">
      <c r="A5" s="5" t="inlineStr">
        <is>
          <t>EMAIL</t>
        </is>
      </c>
      <c r="B5" s="6" t="n"/>
      <c r="C5" s="6" t="n"/>
      <c r="D5" s="6" t="n"/>
    </row>
    <row r="6">
      <c r="A6" s="7" t="inlineStr">
        <is>
          <t>Emails Sent</t>
        </is>
      </c>
      <c r="B6" s="8">
        <f>SUMIFS(Variables!F2:F47, Variables!C2:C47,"Mix Services (5-200)")</f>
        <v/>
      </c>
      <c r="C6" s="8">
        <f>SUMIFS(Variables!F2:F47, Variables!C2:C47,"Manufacturing")</f>
        <v/>
      </c>
      <c r="D6" s="9">
        <f>IFERROR(B6/C6,"")</f>
        <v/>
      </c>
    </row>
    <row r="7">
      <c r="A7" s="7" t="inlineStr">
        <is>
          <t>Leads Contacted</t>
        </is>
      </c>
      <c r="B7" s="8">
        <f>SUMIFS(Variables!G2:G47, Variables!C2:C47,"Mix Services (5-200)")</f>
        <v/>
      </c>
      <c r="C7" s="8">
        <f>SUMIFS(Variables!G2:G47, Variables!C2:C47,"Manufacturing")</f>
        <v/>
      </c>
      <c r="D7" s="9">
        <f>IFERROR(B7/C7,"")</f>
        <v/>
      </c>
    </row>
    <row r="8">
      <c r="A8" s="7" t="inlineStr">
        <is>
          <t>Replied (total)</t>
        </is>
      </c>
      <c r="B8" s="8">
        <f>SUMIFS(Variables!H2:H47, Variables!C2:C47,"Mix Services (5-200)")</f>
        <v/>
      </c>
      <c r="C8" s="8">
        <f>SUMIFS(Variables!H2:H47, Variables!C2:C47,"Manufacturing")</f>
        <v/>
      </c>
      <c r="D8" s="9">
        <f>IFERROR(B8/C8,"")</f>
        <v/>
      </c>
    </row>
    <row r="9">
      <c r="A9" s="7" t="inlineStr">
        <is>
          <t>Reply Rate (per lead)</t>
        </is>
      </c>
      <c r="B9" s="10">
        <f>IFERROR((SUMIFS(Variables!H2:H47, Variables!C2:C47,"Mix Services (5-200)"))/(SUMIFS(Variables!G2:G47, Variables!C2:C47,"Mix Services (5-200)")),0)</f>
        <v/>
      </c>
      <c r="C9" s="10">
        <f>IFERROR((SUMIFS(Variables!H2:H47, Variables!C2:C47,"Manufacturing"))/(SUMIFS(Variables!G2:G47, Variables!C2:C47,"Manufacturing")),0)</f>
        <v/>
      </c>
      <c r="D9" s="9">
        <f>IFERROR(B9/C9,"")</f>
        <v/>
      </c>
    </row>
    <row r="10">
      <c r="A10" s="7" t="inlineStr">
        <is>
          <t>Bounced</t>
        </is>
      </c>
      <c r="B10" s="8">
        <f>SUMIFS(Variables!I2:I47, Variables!C2:C47,"Mix Services (5-200)")</f>
        <v/>
      </c>
      <c r="C10" s="8">
        <f>SUMIFS(Variables!I2:I47, Variables!C2:C47,"Manufacturing")</f>
        <v/>
      </c>
      <c r="D10" s="9">
        <f>IFERROR(B10/C10,"")</f>
        <v/>
      </c>
    </row>
    <row r="11">
      <c r="A11" s="7" t="inlineStr">
        <is>
          <t>Bounce % (per lead)</t>
        </is>
      </c>
      <c r="B11" s="10">
        <f>IFERROR((SUMIFS(Variables!I2:I47, Variables!C2:C47,"Mix Services (5-200)"))/(SUMIFS(Variables!G2:G47, Variables!C2:C47,"Mix Services (5-200)")),0)</f>
        <v/>
      </c>
      <c r="C11" s="10">
        <f>IFERROR((SUMIFS(Variables!I2:I47, Variables!C2:C47,"Manufacturing"))/(SUMIFS(Variables!G2:G47, Variables!C2:C47,"Manufacturing")),0)</f>
        <v/>
      </c>
      <c r="D11" s="9">
        <f>IFERROR(B11/C11,"")</f>
        <v/>
      </c>
    </row>
    <row r="12">
      <c r="A12" s="7" t="inlineStr">
        <is>
          <t>Interested Replies</t>
        </is>
      </c>
      <c r="B12" s="8">
        <f>SUMIFS(Variables!J2:J47, Variables!C2:C47,"Mix Services (5-200)")</f>
        <v/>
      </c>
      <c r="C12" s="8">
        <f>SUMIFS(Variables!J2:J47, Variables!C2:C47,"Manufacturing")</f>
        <v/>
      </c>
      <c r="D12" s="9">
        <f>IFERROR(B12/C12,"")</f>
        <v/>
      </c>
    </row>
    <row r="13">
      <c r="A13" s="7" t="inlineStr">
        <is>
          <t>Interest Rate (per lead)</t>
        </is>
      </c>
      <c r="B13" s="11">
        <f>IFERROR((SUMIFS(Variables!J2:J47, Variables!C2:C47,"Mix Services (5-200)"))/(SUMIFS(Variables!G2:G47, Variables!C2:C47,"Mix Services (5-200)")),0)</f>
        <v/>
      </c>
      <c r="C13" s="11">
        <f>IFERROR((SUMIFS(Variables!J2:J47, Variables!C2:C47,"Manufacturing"))/(SUMIFS(Variables!G2:G47, Variables!C2:C47,"Manufacturing")),0)</f>
        <v/>
      </c>
      <c r="D13" s="9">
        <f>IFERROR(B13/C13,"")</f>
        <v/>
      </c>
    </row>
    <row r="14">
      <c r="A14" s="5" t="inlineStr">
        <is>
          <t>DEMOS</t>
        </is>
      </c>
      <c r="B14" s="6" t="n"/>
      <c r="C14" s="6" t="n"/>
      <c r="D14" s="6" t="n"/>
    </row>
    <row r="15">
      <c r="A15" s="7" t="inlineStr">
        <is>
          <t>Demos Booked</t>
        </is>
      </c>
      <c r="B15" s="8">
        <f>SUMIFS(Variables!K2:K47, Variables!C2:C47,"Mix Services (5-200)")</f>
        <v/>
      </c>
      <c r="C15" s="8">
        <f>SUMIFS(Variables!K2:K47, Variables!C2:C47,"Manufacturing")</f>
        <v/>
      </c>
      <c r="D15" s="9">
        <f>IFERROR(B15/C15,"")</f>
        <v/>
      </c>
    </row>
    <row r="16">
      <c r="A16" s="7" t="inlineStr">
        <is>
          <t>Pending Demos</t>
        </is>
      </c>
      <c r="B16" s="8">
        <f>SUMIFS(Variables!M2:M47, Variables!C2:C47,"Mix Services (5-200)")</f>
        <v/>
      </c>
      <c r="C16" s="8">
        <f>SUMIFS(Variables!M2:M47, Variables!C2:C47,"Manufacturing")</f>
        <v/>
      </c>
      <c r="D16" s="9">
        <f>IFERROR(B16/C16,"")</f>
        <v/>
      </c>
    </row>
    <row r="17">
      <c r="A17" s="7" t="inlineStr">
        <is>
          <t>Demos / Emails Sent</t>
        </is>
      </c>
      <c r="B17" s="11">
        <f>IFERROR((SUMIFS(Variables!K2:K47, Variables!C2:C47,"Mix Services (5-200)"))/(SUMIFS(Variables!F2:F47, Variables!C2:C47,"Mix Services (5-200)")),0)</f>
        <v/>
      </c>
      <c r="C17" s="11">
        <f>IFERROR((SUMIFS(Variables!K2:K47, Variables!C2:C47,"Manufacturing"))/(SUMIFS(Variables!F2:F47, Variables!C2:C47,"Manufacturing")),0)</f>
        <v/>
      </c>
      <c r="D17" s="9">
        <f>IFERROR(B17/C17,"")</f>
        <v/>
      </c>
    </row>
    <row r="18">
      <c r="A18" s="7" t="inlineStr">
        <is>
          <t>Demos / Leads Contacted</t>
        </is>
      </c>
      <c r="B18" s="11">
        <f>IFERROR((SUMIFS(Variables!K2:K47, Variables!C2:C47,"Mix Services (5-200)"))/(SUMIFS(Variables!G2:G47, Variables!C2:C47,"Mix Services (5-200)")),0)</f>
        <v/>
      </c>
      <c r="C18" s="11">
        <f>IFERROR((SUMIFS(Variables!K2:K47, Variables!C2:C47,"Manufacturing"))/(SUMIFS(Variables!G2:G47, Variables!C2:C47,"Manufacturing")),0)</f>
        <v/>
      </c>
      <c r="D18" s="9">
        <f>IFERROR(B18/C18,"")</f>
        <v/>
      </c>
    </row>
    <row r="19">
      <c r="A19" s="7" t="inlineStr">
        <is>
          <t>Demos / Interested</t>
        </is>
      </c>
      <c r="B19" s="10">
        <f>IFERROR((SUMIFS(Variables!K2:K47, Variables!C2:C47,"Mix Services (5-200)"))/(SUMIFS(Variables!J2:J47, Variables!C2:C47,"Mix Services (5-200)")),0)</f>
        <v/>
      </c>
      <c r="C19" s="10">
        <f>IFERROR((SUMIFS(Variables!K2:K47, Variables!C2:C47,"Manufacturing"))/(SUMIFS(Variables!J2:J47, Variables!C2:C47,"Manufacturing")),0)</f>
        <v/>
      </c>
      <c r="D19" s="9">
        <f>IFERROR(B19/C19,"")</f>
        <v/>
      </c>
    </row>
    <row r="20">
      <c r="A20" s="5" t="inlineStr">
        <is>
          <t>SHOW-UPS</t>
        </is>
      </c>
      <c r="B20" s="6" t="n"/>
      <c r="C20" s="6" t="n"/>
      <c r="D20" s="6" t="n"/>
    </row>
    <row r="21">
      <c r="A21" s="7" t="inlineStr">
        <is>
          <t>Total Show-ups</t>
        </is>
      </c>
      <c r="B21" s="8">
        <f>SUMIFS(Variables!L2:L47, Variables!C2:C47,"Mix Services (5-200)")</f>
        <v/>
      </c>
      <c r="C21" s="8">
        <f>SUMIFS(Variables!L2:L47, Variables!C2:C47,"Manufacturing")</f>
        <v/>
      </c>
      <c r="D21" s="9">
        <f>IFERROR(B21/C21,"")</f>
        <v/>
      </c>
    </row>
    <row r="22">
      <c r="A22" s="7" t="inlineStr">
        <is>
          <t>No-shows</t>
        </is>
      </c>
      <c r="B22" s="8">
        <f>SUMIFS(Variables!N2:N47, Variables!C2:C47,"Mix Services (5-200)")</f>
        <v/>
      </c>
      <c r="C22" s="8">
        <f>SUMIFS(Variables!N2:N47, Variables!C2:C47,"Manufacturing")</f>
        <v/>
      </c>
      <c r="D22" s="9">
        <f>IFERROR(B22/C22,"")</f>
        <v/>
      </c>
    </row>
    <row r="23">
      <c r="A23" s="7" t="inlineStr">
        <is>
          <t>Show-ups / Emails Sent</t>
        </is>
      </c>
      <c r="B23" s="11">
        <f>IFERROR((SUMIFS(Variables!L2:L47, Variables!C2:C47,"Mix Services (5-200)"))/(SUMIFS(Variables!F2:F47, Variables!C2:C47,"Mix Services (5-200)")),0)</f>
        <v/>
      </c>
      <c r="C23" s="11">
        <f>IFERROR((SUMIFS(Variables!L2:L47, Variables!C2:C47,"Manufacturing"))/(SUMIFS(Variables!F2:F47, Variables!C2:C47,"Manufacturing")),0)</f>
        <v/>
      </c>
      <c r="D23" s="9">
        <f>IFERROR(B23/C23,"")</f>
        <v/>
      </c>
    </row>
    <row r="24">
      <c r="A24" s="7" t="inlineStr">
        <is>
          <t>Show-ups / Leads Contacted</t>
        </is>
      </c>
      <c r="B24" s="11">
        <f>IFERROR((SUMIFS(Variables!L2:L47, Variables!C2:C47,"Mix Services (5-200)"))/(SUMIFS(Variables!G2:G47, Variables!C2:C47,"Mix Services (5-200)")),0)</f>
        <v/>
      </c>
      <c r="C24" s="11">
        <f>IFERROR((SUMIFS(Variables!L2:L47, Variables!C2:C47,"Manufacturing"))/(SUMIFS(Variables!G2:G47, Variables!C2:C47,"Manufacturing")),0)</f>
        <v/>
      </c>
      <c r="D24" s="9">
        <f>IFERROR(B24/C24,"")</f>
        <v/>
      </c>
    </row>
    <row r="25">
      <c r="A25" s="7" t="inlineStr">
        <is>
          <t>Show-up Rate (Shows / Completed)</t>
        </is>
      </c>
      <c r="B25" s="10">
        <f>IFERROR((SUMIFS(Variables!L2:L47, Variables!C2:C47,"Mix Services (5-200)"))/(SUMIFS(Variables!O2:O47, Variables!C2:C47,"Mix Services (5-200)")),0)</f>
        <v/>
      </c>
      <c r="C25" s="10">
        <f>IFERROR((SUMIFS(Variables!L2:L47, Variables!C2:C47,"Manufacturing"))/(SUMIFS(Variables!O2:O47, Variables!C2:C47,"Manufacturing")),0)</f>
        <v/>
      </c>
      <c r="D25" s="9">
        <f>IFERROR(B25/C25,"")</f>
        <v/>
      </c>
    </row>
    <row r="26">
      <c r="A26" s="7" t="inlineStr">
        <is>
          <t>Show-ups / Interested</t>
        </is>
      </c>
      <c r="B26" s="10">
        <f>IFERROR((SUMIFS(Variables!L2:L47, Variables!C2:C47,"Mix Services (5-200)"))/(SUMIFS(Variables!J2:J47, Variables!C2:C47,"Mix Services (5-200)")),0)</f>
        <v/>
      </c>
      <c r="C26" s="10">
        <f>IFERROR((SUMIFS(Variables!L2:L47, Variables!C2:C47,"Manufacturing"))/(SUMIFS(Variables!J2:J47, Variables!C2:C47,"Manufacturing")),0)</f>
        <v/>
      </c>
      <c r="D26" s="9">
        <f>IFERROR(B26/C26,"")</f>
        <v/>
      </c>
    </row>
    <row r="27">
      <c r="A27" s="5" t="inlineStr">
        <is>
          <t>CLOSED (ONBOARDINGS)</t>
        </is>
      </c>
      <c r="B27" s="6" t="n"/>
      <c r="C27" s="6" t="n"/>
      <c r="D27" s="6" t="n"/>
    </row>
    <row r="28">
      <c r="A28" s="7" t="inlineStr">
        <is>
          <t>Closed Deals</t>
        </is>
      </c>
      <c r="B28" s="8">
        <f>SUMIFS(Variables!P2:P47, Variables!C2:C47,"Mix Services (5-200)")</f>
        <v/>
      </c>
      <c r="C28" s="8">
        <f>SUMIFS(Variables!P2:P47, Variables!C2:C47,"Manufacturing")</f>
        <v/>
      </c>
      <c r="D28" s="9">
        <f>IFERROR(B28/C28,"")</f>
        <v/>
      </c>
    </row>
    <row r="29">
      <c r="A29" s="7" t="inlineStr">
        <is>
          <t>ARR</t>
        </is>
      </c>
      <c r="B29" s="12">
        <f>SUMIFS(Variables!Q2:Q47, Variables!C2:C47,"Mix Services (5-200)")</f>
        <v/>
      </c>
      <c r="C29" s="12">
        <f>SUMIFS(Variables!Q2:Q47, Variables!C2:C47,"Manufacturing")</f>
        <v/>
      </c>
      <c r="D29" s="9">
        <f>IFERROR(B29/C29,"")</f>
        <v/>
      </c>
    </row>
    <row r="30">
      <c r="A30" s="7" t="inlineStr">
        <is>
          <t>MRR</t>
        </is>
      </c>
      <c r="B30" s="12">
        <f>SUMIFS(Variables!R2:R47, Variables!C2:C47,"Mix Services (5-200)")</f>
        <v/>
      </c>
      <c r="C30" s="12">
        <f>SUMIFS(Variables!R2:R47, Variables!C2:C47,"Manufacturing")</f>
        <v/>
      </c>
      <c r="D30" s="9">
        <f>IFERROR(B30/C30,"")</f>
        <v/>
      </c>
    </row>
    <row r="31">
      <c r="A31" s="7" t="inlineStr">
        <is>
          <t>Close / Demo</t>
        </is>
      </c>
      <c r="B31" s="10">
        <f>IFERROR((SUMIFS(Variables!P2:P47, Variables!C2:C47,"Mix Services (5-200)"))/(SUMIFS(Variables!K2:K47, Variables!C2:C47,"Mix Services (5-200)")),0)</f>
        <v/>
      </c>
      <c r="C31" s="10">
        <f>IFERROR((SUMIFS(Variables!P2:P47, Variables!C2:C47,"Manufacturing"))/(SUMIFS(Variables!K2:K47, Variables!C2:C47,"Manufacturing")),0)</f>
        <v/>
      </c>
      <c r="D31" s="9">
        <f>IFERROR(B31/C31,"")</f>
        <v/>
      </c>
    </row>
    <row r="32">
      <c r="A32" s="7" t="inlineStr">
        <is>
          <t>Close / Show-up</t>
        </is>
      </c>
      <c r="B32" s="10">
        <f>IFERROR((SUMIFS(Variables!P2:P47, Variables!C2:C47,"Mix Services (5-200)"))/(SUMIFS(Variables!L2:L47, Variables!C2:C47,"Mix Services (5-200)")),0)</f>
        <v/>
      </c>
      <c r="C32" s="10">
        <f>IFERROR((SUMIFS(Variables!P2:P47, Variables!C2:C47,"Manufacturing"))/(SUMIFS(Variables!L2:L47, Variables!C2:C47,"Manufacturing")),0)</f>
        <v/>
      </c>
      <c r="D32" s="9">
        <f>IFERROR(B32/C32,"")</f>
        <v/>
      </c>
    </row>
    <row r="33">
      <c r="A33" s="7" t="inlineStr">
        <is>
          <t>Close / Interested</t>
        </is>
      </c>
      <c r="B33" s="10">
        <f>IFERROR((SUMIFS(Variables!P2:P47, Variables!C2:C47,"Mix Services (5-200)"))/(SUMIFS(Variables!J2:J47, Variables!C2:C47,"Mix Services (5-200)")),0)</f>
        <v/>
      </c>
      <c r="C33" s="10">
        <f>IFERROR((SUMIFS(Variables!P2:P47, Variables!C2:C47,"Manufacturing"))/(SUMIFS(Variables!J2:J47, Variables!C2:C47,"Manufacturing")),0)</f>
        <v/>
      </c>
      <c r="D33" s="9">
        <f>IFERROR(B33/C33,"")</f>
        <v/>
      </c>
    </row>
    <row r="34">
      <c r="A34" s="7" t="inlineStr">
        <is>
          <t>Close / Lead</t>
        </is>
      </c>
      <c r="B34" s="11">
        <f>IFERROR((SUMIFS(Variables!P2:P47, Variables!C2:C47,"Mix Services (5-200)"))/(SUMIFS(Variables!G2:G47, Variables!C2:C47,"Mix Services (5-200)")),0)</f>
        <v/>
      </c>
      <c r="C34" s="11">
        <f>IFERROR((SUMIFS(Variables!P2:P47, Variables!C2:C47,"Manufacturing"))/(SUMIFS(Variables!G2:G47, Variables!C2:C47,"Manufacturing")),0)</f>
        <v/>
      </c>
      <c r="D34" s="9">
        <f>IFERROR(B34/C34,"")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6" customWidth="1" min="3" max="3"/>
    <col width="16" customWidth="1" min="4" max="4"/>
  </cols>
  <sheetData>
    <row r="1">
      <c r="A1" s="3" t="inlineStr">
        <is>
          <t>Industry</t>
        </is>
      </c>
      <c r="B1" s="3" t="inlineStr">
        <is>
          <t>Cell ref</t>
        </is>
      </c>
    </row>
    <row r="2">
      <c r="A2" s="3" t="inlineStr">
        <is>
          <t>MFG SE Hook</t>
        </is>
      </c>
      <c r="B2" s="4" t="inlineStr">
        <is>
          <t>used by all formulas below ↓</t>
        </is>
      </c>
    </row>
    <row r="4">
      <c r="A4" s="2" t="inlineStr">
        <is>
          <t>Metric</t>
        </is>
      </c>
      <c r="B4" s="2" t="inlineStr">
        <is>
          <t>MFG SE Hook</t>
        </is>
      </c>
      <c r="C4" s="2" t="inlineStr">
        <is>
          <t>Manufacturing (benchmark)</t>
        </is>
      </c>
      <c r="D4" s="2" t="inlineStr">
        <is>
          <t>Index vs MFG</t>
        </is>
      </c>
    </row>
    <row r="5">
      <c r="A5" s="5" t="inlineStr">
        <is>
          <t>EMAIL</t>
        </is>
      </c>
      <c r="B5" s="6" t="n"/>
      <c r="C5" s="6" t="n"/>
      <c r="D5" s="6" t="n"/>
    </row>
    <row r="6">
      <c r="A6" s="7" t="inlineStr">
        <is>
          <t>Emails Sent</t>
        </is>
      </c>
      <c r="B6" s="8">
        <f>SUMIFS(Variables!F2:F47, Variables!C2:C47,"MFG SE Hook")</f>
        <v/>
      </c>
      <c r="C6" s="8">
        <f>SUMIFS(Variables!F2:F47, Variables!C2:C47,"Manufacturing")</f>
        <v/>
      </c>
      <c r="D6" s="9">
        <f>IFERROR(B6/C6,"")</f>
        <v/>
      </c>
    </row>
    <row r="7">
      <c r="A7" s="7" t="inlineStr">
        <is>
          <t>Leads Contacted</t>
        </is>
      </c>
      <c r="B7" s="8">
        <f>SUMIFS(Variables!G2:G47, Variables!C2:C47,"MFG SE Hook")</f>
        <v/>
      </c>
      <c r="C7" s="8">
        <f>SUMIFS(Variables!G2:G47, Variables!C2:C47,"Manufacturing")</f>
        <v/>
      </c>
      <c r="D7" s="9">
        <f>IFERROR(B7/C7,"")</f>
        <v/>
      </c>
    </row>
    <row r="8">
      <c r="A8" s="7" t="inlineStr">
        <is>
          <t>Replied (total)</t>
        </is>
      </c>
      <c r="B8" s="8">
        <f>SUMIFS(Variables!H2:H47, Variables!C2:C47,"MFG SE Hook")</f>
        <v/>
      </c>
      <c r="C8" s="8">
        <f>SUMIFS(Variables!H2:H47, Variables!C2:C47,"Manufacturing")</f>
        <v/>
      </c>
      <c r="D8" s="9">
        <f>IFERROR(B8/C8,"")</f>
        <v/>
      </c>
    </row>
    <row r="9">
      <c r="A9" s="7" t="inlineStr">
        <is>
          <t>Reply Rate (per lead)</t>
        </is>
      </c>
      <c r="B9" s="10">
        <f>IFERROR((SUMIFS(Variables!H2:H47, Variables!C2:C47,"MFG SE Hook"))/(SUMIFS(Variables!G2:G47, Variables!C2:C47,"MFG SE Hook")),0)</f>
        <v/>
      </c>
      <c r="C9" s="10">
        <f>IFERROR((SUMIFS(Variables!H2:H47, Variables!C2:C47,"Manufacturing"))/(SUMIFS(Variables!G2:G47, Variables!C2:C47,"Manufacturing")),0)</f>
        <v/>
      </c>
      <c r="D9" s="9">
        <f>IFERROR(B9/C9,"")</f>
        <v/>
      </c>
    </row>
    <row r="10">
      <c r="A10" s="7" t="inlineStr">
        <is>
          <t>Bounced</t>
        </is>
      </c>
      <c r="B10" s="8">
        <f>SUMIFS(Variables!I2:I47, Variables!C2:C47,"MFG SE Hook")</f>
        <v/>
      </c>
      <c r="C10" s="8">
        <f>SUMIFS(Variables!I2:I47, Variables!C2:C47,"Manufacturing")</f>
        <v/>
      </c>
      <c r="D10" s="9">
        <f>IFERROR(B10/C10,"")</f>
        <v/>
      </c>
    </row>
    <row r="11">
      <c r="A11" s="7" t="inlineStr">
        <is>
          <t>Bounce % (per lead)</t>
        </is>
      </c>
      <c r="B11" s="10">
        <f>IFERROR((SUMIFS(Variables!I2:I47, Variables!C2:C47,"MFG SE Hook"))/(SUMIFS(Variables!G2:G47, Variables!C2:C47,"MFG SE Hook")),0)</f>
        <v/>
      </c>
      <c r="C11" s="10">
        <f>IFERROR((SUMIFS(Variables!I2:I47, Variables!C2:C47,"Manufacturing"))/(SUMIFS(Variables!G2:G47, Variables!C2:C47,"Manufacturing")),0)</f>
        <v/>
      </c>
      <c r="D11" s="9">
        <f>IFERROR(B11/C11,"")</f>
        <v/>
      </c>
    </row>
    <row r="12">
      <c r="A12" s="7" t="inlineStr">
        <is>
          <t>Interested Replies</t>
        </is>
      </c>
      <c r="B12" s="8">
        <f>SUMIFS(Variables!J2:J47, Variables!C2:C47,"MFG SE Hook")</f>
        <v/>
      </c>
      <c r="C12" s="8">
        <f>SUMIFS(Variables!J2:J47, Variables!C2:C47,"Manufacturing")</f>
        <v/>
      </c>
      <c r="D12" s="9">
        <f>IFERROR(B12/C12,"")</f>
        <v/>
      </c>
    </row>
    <row r="13">
      <c r="A13" s="7" t="inlineStr">
        <is>
          <t>Interest Rate (per lead)</t>
        </is>
      </c>
      <c r="B13" s="11">
        <f>IFERROR((SUMIFS(Variables!J2:J47, Variables!C2:C47,"MFG SE Hook"))/(SUMIFS(Variables!G2:G47, Variables!C2:C47,"MFG SE Hook")),0)</f>
        <v/>
      </c>
      <c r="C13" s="11">
        <f>IFERROR((SUMIFS(Variables!J2:J47, Variables!C2:C47,"Manufacturing"))/(SUMIFS(Variables!G2:G47, Variables!C2:C47,"Manufacturing")),0)</f>
        <v/>
      </c>
      <c r="D13" s="9">
        <f>IFERROR(B13/C13,"")</f>
        <v/>
      </c>
    </row>
    <row r="14">
      <c r="A14" s="5" t="inlineStr">
        <is>
          <t>DEMOS</t>
        </is>
      </c>
      <c r="B14" s="6" t="n"/>
      <c r="C14" s="6" t="n"/>
      <c r="D14" s="6" t="n"/>
    </row>
    <row r="15">
      <c r="A15" s="7" t="inlineStr">
        <is>
          <t>Demos Booked</t>
        </is>
      </c>
      <c r="B15" s="8">
        <f>SUMIFS(Variables!K2:K47, Variables!C2:C47,"MFG SE Hook")</f>
        <v/>
      </c>
      <c r="C15" s="8">
        <f>SUMIFS(Variables!K2:K47, Variables!C2:C47,"Manufacturing")</f>
        <v/>
      </c>
      <c r="D15" s="9">
        <f>IFERROR(B15/C15,"")</f>
        <v/>
      </c>
    </row>
    <row r="16">
      <c r="A16" s="7" t="inlineStr">
        <is>
          <t>Pending Demos</t>
        </is>
      </c>
      <c r="B16" s="8">
        <f>SUMIFS(Variables!M2:M47, Variables!C2:C47,"MFG SE Hook")</f>
        <v/>
      </c>
      <c r="C16" s="8">
        <f>SUMIFS(Variables!M2:M47, Variables!C2:C47,"Manufacturing")</f>
        <v/>
      </c>
      <c r="D16" s="9">
        <f>IFERROR(B16/C16,"")</f>
        <v/>
      </c>
    </row>
    <row r="17">
      <c r="A17" s="7" t="inlineStr">
        <is>
          <t>Demos / Emails Sent</t>
        </is>
      </c>
      <c r="B17" s="11">
        <f>IFERROR((SUMIFS(Variables!K2:K47, Variables!C2:C47,"MFG SE Hook"))/(SUMIFS(Variables!F2:F47, Variables!C2:C47,"MFG SE Hook")),0)</f>
        <v/>
      </c>
      <c r="C17" s="11">
        <f>IFERROR((SUMIFS(Variables!K2:K47, Variables!C2:C47,"Manufacturing"))/(SUMIFS(Variables!F2:F47, Variables!C2:C47,"Manufacturing")),0)</f>
        <v/>
      </c>
      <c r="D17" s="9">
        <f>IFERROR(B17/C17,"")</f>
        <v/>
      </c>
    </row>
    <row r="18">
      <c r="A18" s="7" t="inlineStr">
        <is>
          <t>Demos / Leads Contacted</t>
        </is>
      </c>
      <c r="B18" s="11">
        <f>IFERROR((SUMIFS(Variables!K2:K47, Variables!C2:C47,"MFG SE Hook"))/(SUMIFS(Variables!G2:G47, Variables!C2:C47,"MFG SE Hook")),0)</f>
        <v/>
      </c>
      <c r="C18" s="11">
        <f>IFERROR((SUMIFS(Variables!K2:K47, Variables!C2:C47,"Manufacturing"))/(SUMIFS(Variables!G2:G47, Variables!C2:C47,"Manufacturing")),0)</f>
        <v/>
      </c>
      <c r="D18" s="9">
        <f>IFERROR(B18/C18,"")</f>
        <v/>
      </c>
    </row>
    <row r="19">
      <c r="A19" s="7" t="inlineStr">
        <is>
          <t>Demos / Interested</t>
        </is>
      </c>
      <c r="B19" s="10">
        <f>IFERROR((SUMIFS(Variables!K2:K47, Variables!C2:C47,"MFG SE Hook"))/(SUMIFS(Variables!J2:J47, Variables!C2:C47,"MFG SE Hook")),0)</f>
        <v/>
      </c>
      <c r="C19" s="10">
        <f>IFERROR((SUMIFS(Variables!K2:K47, Variables!C2:C47,"Manufacturing"))/(SUMIFS(Variables!J2:J47, Variables!C2:C47,"Manufacturing")),0)</f>
        <v/>
      </c>
      <c r="D19" s="9">
        <f>IFERROR(B19/C19,"")</f>
        <v/>
      </c>
    </row>
    <row r="20">
      <c r="A20" s="5" t="inlineStr">
        <is>
          <t>SHOW-UPS</t>
        </is>
      </c>
      <c r="B20" s="6" t="n"/>
      <c r="C20" s="6" t="n"/>
      <c r="D20" s="6" t="n"/>
    </row>
    <row r="21">
      <c r="A21" s="7" t="inlineStr">
        <is>
          <t>Total Show-ups</t>
        </is>
      </c>
      <c r="B21" s="8">
        <f>SUMIFS(Variables!L2:L47, Variables!C2:C47,"MFG SE Hook")</f>
        <v/>
      </c>
      <c r="C21" s="8">
        <f>SUMIFS(Variables!L2:L47, Variables!C2:C47,"Manufacturing")</f>
        <v/>
      </c>
      <c r="D21" s="9">
        <f>IFERROR(B21/C21,"")</f>
        <v/>
      </c>
    </row>
    <row r="22">
      <c r="A22" s="7" t="inlineStr">
        <is>
          <t>No-shows</t>
        </is>
      </c>
      <c r="B22" s="8">
        <f>SUMIFS(Variables!N2:N47, Variables!C2:C47,"MFG SE Hook")</f>
        <v/>
      </c>
      <c r="C22" s="8">
        <f>SUMIFS(Variables!N2:N47, Variables!C2:C47,"Manufacturing")</f>
        <v/>
      </c>
      <c r="D22" s="9">
        <f>IFERROR(B22/C22,"")</f>
        <v/>
      </c>
    </row>
    <row r="23">
      <c r="A23" s="7" t="inlineStr">
        <is>
          <t>Show-ups / Emails Sent</t>
        </is>
      </c>
      <c r="B23" s="11">
        <f>IFERROR((SUMIFS(Variables!L2:L47, Variables!C2:C47,"MFG SE Hook"))/(SUMIFS(Variables!F2:F47, Variables!C2:C47,"MFG SE Hook")),0)</f>
        <v/>
      </c>
      <c r="C23" s="11">
        <f>IFERROR((SUMIFS(Variables!L2:L47, Variables!C2:C47,"Manufacturing"))/(SUMIFS(Variables!F2:F47, Variables!C2:C47,"Manufacturing")),0)</f>
        <v/>
      </c>
      <c r="D23" s="9">
        <f>IFERROR(B23/C23,"")</f>
        <v/>
      </c>
    </row>
    <row r="24">
      <c r="A24" s="7" t="inlineStr">
        <is>
          <t>Show-ups / Leads Contacted</t>
        </is>
      </c>
      <c r="B24" s="11">
        <f>IFERROR((SUMIFS(Variables!L2:L47, Variables!C2:C47,"MFG SE Hook"))/(SUMIFS(Variables!G2:G47, Variables!C2:C47,"MFG SE Hook")),0)</f>
        <v/>
      </c>
      <c r="C24" s="11">
        <f>IFERROR((SUMIFS(Variables!L2:L47, Variables!C2:C47,"Manufacturing"))/(SUMIFS(Variables!G2:G47, Variables!C2:C47,"Manufacturing")),0)</f>
        <v/>
      </c>
      <c r="D24" s="9">
        <f>IFERROR(B24/C24,"")</f>
        <v/>
      </c>
    </row>
    <row r="25">
      <c r="A25" s="7" t="inlineStr">
        <is>
          <t>Show-up Rate (Shows / Completed)</t>
        </is>
      </c>
      <c r="B25" s="10">
        <f>IFERROR((SUMIFS(Variables!L2:L47, Variables!C2:C47,"MFG SE Hook"))/(SUMIFS(Variables!O2:O47, Variables!C2:C47,"MFG SE Hook")),0)</f>
        <v/>
      </c>
      <c r="C25" s="10">
        <f>IFERROR((SUMIFS(Variables!L2:L47, Variables!C2:C47,"Manufacturing"))/(SUMIFS(Variables!O2:O47, Variables!C2:C47,"Manufacturing")),0)</f>
        <v/>
      </c>
      <c r="D25" s="9">
        <f>IFERROR(B25/C25,"")</f>
        <v/>
      </c>
    </row>
    <row r="26">
      <c r="A26" s="7" t="inlineStr">
        <is>
          <t>Show-ups / Interested</t>
        </is>
      </c>
      <c r="B26" s="10">
        <f>IFERROR((SUMIFS(Variables!L2:L47, Variables!C2:C47,"MFG SE Hook"))/(SUMIFS(Variables!J2:J47, Variables!C2:C47,"MFG SE Hook")),0)</f>
        <v/>
      </c>
      <c r="C26" s="10">
        <f>IFERROR((SUMIFS(Variables!L2:L47, Variables!C2:C47,"Manufacturing"))/(SUMIFS(Variables!J2:J47, Variables!C2:C47,"Manufacturing")),0)</f>
        <v/>
      </c>
      <c r="D26" s="9">
        <f>IFERROR(B26/C26,"")</f>
        <v/>
      </c>
    </row>
    <row r="27">
      <c r="A27" s="5" t="inlineStr">
        <is>
          <t>CLOSED (ONBOARDINGS)</t>
        </is>
      </c>
      <c r="B27" s="6" t="n"/>
      <c r="C27" s="6" t="n"/>
      <c r="D27" s="6" t="n"/>
    </row>
    <row r="28">
      <c r="A28" s="7" t="inlineStr">
        <is>
          <t>Closed Deals</t>
        </is>
      </c>
      <c r="B28" s="8">
        <f>SUMIFS(Variables!P2:P47, Variables!C2:C47,"MFG SE Hook")</f>
        <v/>
      </c>
      <c r="C28" s="8">
        <f>SUMIFS(Variables!P2:P47, Variables!C2:C47,"Manufacturing")</f>
        <v/>
      </c>
      <c r="D28" s="9">
        <f>IFERROR(B28/C28,"")</f>
        <v/>
      </c>
    </row>
    <row r="29">
      <c r="A29" s="7" t="inlineStr">
        <is>
          <t>ARR</t>
        </is>
      </c>
      <c r="B29" s="12">
        <f>SUMIFS(Variables!Q2:Q47, Variables!C2:C47,"MFG SE Hook")</f>
        <v/>
      </c>
      <c r="C29" s="12">
        <f>SUMIFS(Variables!Q2:Q47, Variables!C2:C47,"Manufacturing")</f>
        <v/>
      </c>
      <c r="D29" s="9">
        <f>IFERROR(B29/C29,"")</f>
        <v/>
      </c>
    </row>
    <row r="30">
      <c r="A30" s="7" t="inlineStr">
        <is>
          <t>MRR</t>
        </is>
      </c>
      <c r="B30" s="12">
        <f>SUMIFS(Variables!R2:R47, Variables!C2:C47,"MFG SE Hook")</f>
        <v/>
      </c>
      <c r="C30" s="12">
        <f>SUMIFS(Variables!R2:R47, Variables!C2:C47,"Manufacturing")</f>
        <v/>
      </c>
      <c r="D30" s="9">
        <f>IFERROR(B30/C30,"")</f>
        <v/>
      </c>
    </row>
    <row r="31">
      <c r="A31" s="7" t="inlineStr">
        <is>
          <t>Close / Demo</t>
        </is>
      </c>
      <c r="B31" s="10">
        <f>IFERROR((SUMIFS(Variables!P2:P47, Variables!C2:C47,"MFG SE Hook"))/(SUMIFS(Variables!K2:K47, Variables!C2:C47,"MFG SE Hook")),0)</f>
        <v/>
      </c>
      <c r="C31" s="10">
        <f>IFERROR((SUMIFS(Variables!P2:P47, Variables!C2:C47,"Manufacturing"))/(SUMIFS(Variables!K2:K47, Variables!C2:C47,"Manufacturing")),0)</f>
        <v/>
      </c>
      <c r="D31" s="9">
        <f>IFERROR(B31/C31,"")</f>
        <v/>
      </c>
    </row>
    <row r="32">
      <c r="A32" s="7" t="inlineStr">
        <is>
          <t>Close / Show-up</t>
        </is>
      </c>
      <c r="B32" s="10">
        <f>IFERROR((SUMIFS(Variables!P2:P47, Variables!C2:C47,"MFG SE Hook"))/(SUMIFS(Variables!L2:L47, Variables!C2:C47,"MFG SE Hook")),0)</f>
        <v/>
      </c>
      <c r="C32" s="10">
        <f>IFERROR((SUMIFS(Variables!P2:P47, Variables!C2:C47,"Manufacturing"))/(SUMIFS(Variables!L2:L47, Variables!C2:C47,"Manufacturing")),0)</f>
        <v/>
      </c>
      <c r="D32" s="9">
        <f>IFERROR(B32/C32,"")</f>
        <v/>
      </c>
    </row>
    <row r="33">
      <c r="A33" s="7" t="inlineStr">
        <is>
          <t>Close / Interested</t>
        </is>
      </c>
      <c r="B33" s="10">
        <f>IFERROR((SUMIFS(Variables!P2:P47, Variables!C2:C47,"MFG SE Hook"))/(SUMIFS(Variables!J2:J47, Variables!C2:C47,"MFG SE Hook")),0)</f>
        <v/>
      </c>
      <c r="C33" s="10">
        <f>IFERROR((SUMIFS(Variables!P2:P47, Variables!C2:C47,"Manufacturing"))/(SUMIFS(Variables!J2:J47, Variables!C2:C47,"Manufacturing")),0)</f>
        <v/>
      </c>
      <c r="D33" s="9">
        <f>IFERROR(B33/C33,"")</f>
        <v/>
      </c>
    </row>
    <row r="34">
      <c r="A34" s="7" t="inlineStr">
        <is>
          <t>Close / Lead</t>
        </is>
      </c>
      <c r="B34" s="11">
        <f>IFERROR((SUMIFS(Variables!P2:P47, Variables!C2:C47,"MFG SE Hook"))/(SUMIFS(Variables!G2:G47, Variables!C2:C47,"MFG SE Hook")),0)</f>
        <v/>
      </c>
      <c r="C34" s="11">
        <f>IFERROR((SUMIFS(Variables!P2:P47, Variables!C2:C47,"Manufacturing"))/(SUMIFS(Variables!G2:G47, Variables!C2:C47,"Manufacturing")),0)</f>
        <v/>
      </c>
      <c r="D34" s="9">
        <f>IFERROR(B34/C34,"")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6" customWidth="1" min="3" max="3"/>
    <col width="16" customWidth="1" min="4" max="4"/>
  </cols>
  <sheetData>
    <row r="1">
      <c r="A1" s="3" t="inlineStr">
        <is>
          <t>Industry</t>
        </is>
      </c>
      <c r="B1" s="3" t="inlineStr">
        <is>
          <t>Cell ref</t>
        </is>
      </c>
    </row>
    <row r="2">
      <c r="A2" s="3" t="inlineStr">
        <is>
          <t>MFG Account</t>
        </is>
      </c>
      <c r="B2" s="4" t="inlineStr">
        <is>
          <t>used by all formulas below ↓</t>
        </is>
      </c>
    </row>
    <row r="4">
      <c r="A4" s="2" t="inlineStr">
        <is>
          <t>Metric</t>
        </is>
      </c>
      <c r="B4" s="2" t="inlineStr">
        <is>
          <t>MFG Account</t>
        </is>
      </c>
      <c r="C4" s="2" t="inlineStr">
        <is>
          <t>Manufacturing (benchmark)</t>
        </is>
      </c>
      <c r="D4" s="2" t="inlineStr">
        <is>
          <t>Index vs MFG</t>
        </is>
      </c>
    </row>
    <row r="5">
      <c r="A5" s="5" t="inlineStr">
        <is>
          <t>EMAIL</t>
        </is>
      </c>
      <c r="B5" s="6" t="n"/>
      <c r="C5" s="6" t="n"/>
      <c r="D5" s="6" t="n"/>
    </row>
    <row r="6">
      <c r="A6" s="7" t="inlineStr">
        <is>
          <t>Emails Sent</t>
        </is>
      </c>
      <c r="B6" s="8">
        <f>SUMIFS(Variables!F2:F47, Variables!C2:C47,"MFG Account")</f>
        <v/>
      </c>
      <c r="C6" s="8">
        <f>SUMIFS(Variables!F2:F47, Variables!C2:C47,"Manufacturing")</f>
        <v/>
      </c>
      <c r="D6" s="9">
        <f>IFERROR(B6/C6,"")</f>
        <v/>
      </c>
    </row>
    <row r="7">
      <c r="A7" s="7" t="inlineStr">
        <is>
          <t>Leads Contacted</t>
        </is>
      </c>
      <c r="B7" s="8">
        <f>SUMIFS(Variables!G2:G47, Variables!C2:C47,"MFG Account")</f>
        <v/>
      </c>
      <c r="C7" s="8">
        <f>SUMIFS(Variables!G2:G47, Variables!C2:C47,"Manufacturing")</f>
        <v/>
      </c>
      <c r="D7" s="9">
        <f>IFERROR(B7/C7,"")</f>
        <v/>
      </c>
    </row>
    <row r="8">
      <c r="A8" s="7" t="inlineStr">
        <is>
          <t>Replied (total)</t>
        </is>
      </c>
      <c r="B8" s="8">
        <f>SUMIFS(Variables!H2:H47, Variables!C2:C47,"MFG Account")</f>
        <v/>
      </c>
      <c r="C8" s="8">
        <f>SUMIFS(Variables!H2:H47, Variables!C2:C47,"Manufacturing")</f>
        <v/>
      </c>
      <c r="D8" s="9">
        <f>IFERROR(B8/C8,"")</f>
        <v/>
      </c>
    </row>
    <row r="9">
      <c r="A9" s="7" t="inlineStr">
        <is>
          <t>Reply Rate (per lead)</t>
        </is>
      </c>
      <c r="B9" s="10">
        <f>IFERROR((SUMIFS(Variables!H2:H47, Variables!C2:C47,"MFG Account"))/(SUMIFS(Variables!G2:G47, Variables!C2:C47,"MFG Account")),0)</f>
        <v/>
      </c>
      <c r="C9" s="10">
        <f>IFERROR((SUMIFS(Variables!H2:H47, Variables!C2:C47,"Manufacturing"))/(SUMIFS(Variables!G2:G47, Variables!C2:C47,"Manufacturing")),0)</f>
        <v/>
      </c>
      <c r="D9" s="9">
        <f>IFERROR(B9/C9,"")</f>
        <v/>
      </c>
    </row>
    <row r="10">
      <c r="A10" s="7" t="inlineStr">
        <is>
          <t>Bounced</t>
        </is>
      </c>
      <c r="B10" s="8">
        <f>SUMIFS(Variables!I2:I47, Variables!C2:C47,"MFG Account")</f>
        <v/>
      </c>
      <c r="C10" s="8">
        <f>SUMIFS(Variables!I2:I47, Variables!C2:C47,"Manufacturing")</f>
        <v/>
      </c>
      <c r="D10" s="9">
        <f>IFERROR(B10/C10,"")</f>
        <v/>
      </c>
    </row>
    <row r="11">
      <c r="A11" s="7" t="inlineStr">
        <is>
          <t>Bounce % (per lead)</t>
        </is>
      </c>
      <c r="B11" s="10">
        <f>IFERROR((SUMIFS(Variables!I2:I47, Variables!C2:C47,"MFG Account"))/(SUMIFS(Variables!G2:G47, Variables!C2:C47,"MFG Account")),0)</f>
        <v/>
      </c>
      <c r="C11" s="10">
        <f>IFERROR((SUMIFS(Variables!I2:I47, Variables!C2:C47,"Manufacturing"))/(SUMIFS(Variables!G2:G47, Variables!C2:C47,"Manufacturing")),0)</f>
        <v/>
      </c>
      <c r="D11" s="9">
        <f>IFERROR(B11/C11,"")</f>
        <v/>
      </c>
    </row>
    <row r="12">
      <c r="A12" s="7" t="inlineStr">
        <is>
          <t>Interested Replies</t>
        </is>
      </c>
      <c r="B12" s="8">
        <f>SUMIFS(Variables!J2:J47, Variables!C2:C47,"MFG Account")</f>
        <v/>
      </c>
      <c r="C12" s="8">
        <f>SUMIFS(Variables!J2:J47, Variables!C2:C47,"Manufacturing")</f>
        <v/>
      </c>
      <c r="D12" s="9">
        <f>IFERROR(B12/C12,"")</f>
        <v/>
      </c>
    </row>
    <row r="13">
      <c r="A13" s="7" t="inlineStr">
        <is>
          <t>Interest Rate (per lead)</t>
        </is>
      </c>
      <c r="B13" s="11">
        <f>IFERROR((SUMIFS(Variables!J2:J47, Variables!C2:C47,"MFG Account"))/(SUMIFS(Variables!G2:G47, Variables!C2:C47,"MFG Account")),0)</f>
        <v/>
      </c>
      <c r="C13" s="11">
        <f>IFERROR((SUMIFS(Variables!J2:J47, Variables!C2:C47,"Manufacturing"))/(SUMIFS(Variables!G2:G47, Variables!C2:C47,"Manufacturing")),0)</f>
        <v/>
      </c>
      <c r="D13" s="9">
        <f>IFERROR(B13/C13,"")</f>
        <v/>
      </c>
    </row>
    <row r="14">
      <c r="A14" s="5" t="inlineStr">
        <is>
          <t>DEMOS</t>
        </is>
      </c>
      <c r="B14" s="6" t="n"/>
      <c r="C14" s="6" t="n"/>
      <c r="D14" s="6" t="n"/>
    </row>
    <row r="15">
      <c r="A15" s="7" t="inlineStr">
        <is>
          <t>Demos Booked</t>
        </is>
      </c>
      <c r="B15" s="8">
        <f>SUMIFS(Variables!K2:K47, Variables!C2:C47,"MFG Account")</f>
        <v/>
      </c>
      <c r="C15" s="8">
        <f>SUMIFS(Variables!K2:K47, Variables!C2:C47,"Manufacturing")</f>
        <v/>
      </c>
      <c r="D15" s="9">
        <f>IFERROR(B15/C15,"")</f>
        <v/>
      </c>
    </row>
    <row r="16">
      <c r="A16" s="7" t="inlineStr">
        <is>
          <t>Pending Demos</t>
        </is>
      </c>
      <c r="B16" s="8">
        <f>SUMIFS(Variables!M2:M47, Variables!C2:C47,"MFG Account")</f>
        <v/>
      </c>
      <c r="C16" s="8">
        <f>SUMIFS(Variables!M2:M47, Variables!C2:C47,"Manufacturing")</f>
        <v/>
      </c>
      <c r="D16" s="9">
        <f>IFERROR(B16/C16,"")</f>
        <v/>
      </c>
    </row>
    <row r="17">
      <c r="A17" s="7" t="inlineStr">
        <is>
          <t>Demos / Emails Sent</t>
        </is>
      </c>
      <c r="B17" s="11">
        <f>IFERROR((SUMIFS(Variables!K2:K47, Variables!C2:C47,"MFG Account"))/(SUMIFS(Variables!F2:F47, Variables!C2:C47,"MFG Account")),0)</f>
        <v/>
      </c>
      <c r="C17" s="11">
        <f>IFERROR((SUMIFS(Variables!K2:K47, Variables!C2:C47,"Manufacturing"))/(SUMIFS(Variables!F2:F47, Variables!C2:C47,"Manufacturing")),0)</f>
        <v/>
      </c>
      <c r="D17" s="9">
        <f>IFERROR(B17/C17,"")</f>
        <v/>
      </c>
    </row>
    <row r="18">
      <c r="A18" s="7" t="inlineStr">
        <is>
          <t>Demos / Leads Contacted</t>
        </is>
      </c>
      <c r="B18" s="11">
        <f>IFERROR((SUMIFS(Variables!K2:K47, Variables!C2:C47,"MFG Account"))/(SUMIFS(Variables!G2:G47, Variables!C2:C47,"MFG Account")),0)</f>
        <v/>
      </c>
      <c r="C18" s="11">
        <f>IFERROR((SUMIFS(Variables!K2:K47, Variables!C2:C47,"Manufacturing"))/(SUMIFS(Variables!G2:G47, Variables!C2:C47,"Manufacturing")),0)</f>
        <v/>
      </c>
      <c r="D18" s="9">
        <f>IFERROR(B18/C18,"")</f>
        <v/>
      </c>
    </row>
    <row r="19">
      <c r="A19" s="7" t="inlineStr">
        <is>
          <t>Demos / Interested</t>
        </is>
      </c>
      <c r="B19" s="10">
        <f>IFERROR((SUMIFS(Variables!K2:K47, Variables!C2:C47,"MFG Account"))/(SUMIFS(Variables!J2:J47, Variables!C2:C47,"MFG Account")),0)</f>
        <v/>
      </c>
      <c r="C19" s="10">
        <f>IFERROR((SUMIFS(Variables!K2:K47, Variables!C2:C47,"Manufacturing"))/(SUMIFS(Variables!J2:J47, Variables!C2:C47,"Manufacturing")),0)</f>
        <v/>
      </c>
      <c r="D19" s="9">
        <f>IFERROR(B19/C19,"")</f>
        <v/>
      </c>
    </row>
    <row r="20">
      <c r="A20" s="5" t="inlineStr">
        <is>
          <t>SHOW-UPS</t>
        </is>
      </c>
      <c r="B20" s="6" t="n"/>
      <c r="C20" s="6" t="n"/>
      <c r="D20" s="6" t="n"/>
    </row>
    <row r="21">
      <c r="A21" s="7" t="inlineStr">
        <is>
          <t>Total Show-ups</t>
        </is>
      </c>
      <c r="B21" s="8">
        <f>SUMIFS(Variables!L2:L47, Variables!C2:C47,"MFG Account")</f>
        <v/>
      </c>
      <c r="C21" s="8">
        <f>SUMIFS(Variables!L2:L47, Variables!C2:C47,"Manufacturing")</f>
        <v/>
      </c>
      <c r="D21" s="9">
        <f>IFERROR(B21/C21,"")</f>
        <v/>
      </c>
    </row>
    <row r="22">
      <c r="A22" s="7" t="inlineStr">
        <is>
          <t>No-shows</t>
        </is>
      </c>
      <c r="B22" s="8">
        <f>SUMIFS(Variables!N2:N47, Variables!C2:C47,"MFG Account")</f>
        <v/>
      </c>
      <c r="C22" s="8">
        <f>SUMIFS(Variables!N2:N47, Variables!C2:C47,"Manufacturing")</f>
        <v/>
      </c>
      <c r="D22" s="9">
        <f>IFERROR(B22/C22,"")</f>
        <v/>
      </c>
    </row>
    <row r="23">
      <c r="A23" s="7" t="inlineStr">
        <is>
          <t>Show-ups / Emails Sent</t>
        </is>
      </c>
      <c r="B23" s="11">
        <f>IFERROR((SUMIFS(Variables!L2:L47, Variables!C2:C47,"MFG Account"))/(SUMIFS(Variables!F2:F47, Variables!C2:C47,"MFG Account")),0)</f>
        <v/>
      </c>
      <c r="C23" s="11">
        <f>IFERROR((SUMIFS(Variables!L2:L47, Variables!C2:C47,"Manufacturing"))/(SUMIFS(Variables!F2:F47, Variables!C2:C47,"Manufacturing")),0)</f>
        <v/>
      </c>
      <c r="D23" s="9">
        <f>IFERROR(B23/C23,"")</f>
        <v/>
      </c>
    </row>
    <row r="24">
      <c r="A24" s="7" t="inlineStr">
        <is>
          <t>Show-ups / Leads Contacted</t>
        </is>
      </c>
      <c r="B24" s="11">
        <f>IFERROR((SUMIFS(Variables!L2:L47, Variables!C2:C47,"MFG Account"))/(SUMIFS(Variables!G2:G47, Variables!C2:C47,"MFG Account")),0)</f>
        <v/>
      </c>
      <c r="C24" s="11">
        <f>IFERROR((SUMIFS(Variables!L2:L47, Variables!C2:C47,"Manufacturing"))/(SUMIFS(Variables!G2:G47, Variables!C2:C47,"Manufacturing")),0)</f>
        <v/>
      </c>
      <c r="D24" s="9">
        <f>IFERROR(B24/C24,"")</f>
        <v/>
      </c>
    </row>
    <row r="25">
      <c r="A25" s="7" t="inlineStr">
        <is>
          <t>Show-up Rate (Shows / Completed)</t>
        </is>
      </c>
      <c r="B25" s="10">
        <f>IFERROR((SUMIFS(Variables!L2:L47, Variables!C2:C47,"MFG Account"))/(SUMIFS(Variables!O2:O47, Variables!C2:C47,"MFG Account")),0)</f>
        <v/>
      </c>
      <c r="C25" s="10">
        <f>IFERROR((SUMIFS(Variables!L2:L47, Variables!C2:C47,"Manufacturing"))/(SUMIFS(Variables!O2:O47, Variables!C2:C47,"Manufacturing")),0)</f>
        <v/>
      </c>
      <c r="D25" s="9">
        <f>IFERROR(B25/C25,"")</f>
        <v/>
      </c>
    </row>
    <row r="26">
      <c r="A26" s="7" t="inlineStr">
        <is>
          <t>Show-ups / Interested</t>
        </is>
      </c>
      <c r="B26" s="10">
        <f>IFERROR((SUMIFS(Variables!L2:L47, Variables!C2:C47,"MFG Account"))/(SUMIFS(Variables!J2:J47, Variables!C2:C47,"MFG Account")),0)</f>
        <v/>
      </c>
      <c r="C26" s="10">
        <f>IFERROR((SUMIFS(Variables!L2:L47, Variables!C2:C47,"Manufacturing"))/(SUMIFS(Variables!J2:J47, Variables!C2:C47,"Manufacturing")),0)</f>
        <v/>
      </c>
      <c r="D26" s="9">
        <f>IFERROR(B26/C26,"")</f>
        <v/>
      </c>
    </row>
    <row r="27">
      <c r="A27" s="5" t="inlineStr">
        <is>
          <t>CLOSED (ONBOARDINGS)</t>
        </is>
      </c>
      <c r="B27" s="6" t="n"/>
      <c r="C27" s="6" t="n"/>
      <c r="D27" s="6" t="n"/>
    </row>
    <row r="28">
      <c r="A28" s="7" t="inlineStr">
        <is>
          <t>Closed Deals</t>
        </is>
      </c>
      <c r="B28" s="8">
        <f>SUMIFS(Variables!P2:P47, Variables!C2:C47,"MFG Account")</f>
        <v/>
      </c>
      <c r="C28" s="8">
        <f>SUMIFS(Variables!P2:P47, Variables!C2:C47,"Manufacturing")</f>
        <v/>
      </c>
      <c r="D28" s="9">
        <f>IFERROR(B28/C28,"")</f>
        <v/>
      </c>
    </row>
    <row r="29">
      <c r="A29" s="7" t="inlineStr">
        <is>
          <t>ARR</t>
        </is>
      </c>
      <c r="B29" s="12">
        <f>SUMIFS(Variables!Q2:Q47, Variables!C2:C47,"MFG Account")</f>
        <v/>
      </c>
      <c r="C29" s="12">
        <f>SUMIFS(Variables!Q2:Q47, Variables!C2:C47,"Manufacturing")</f>
        <v/>
      </c>
      <c r="D29" s="9">
        <f>IFERROR(B29/C29,"")</f>
        <v/>
      </c>
    </row>
    <row r="30">
      <c r="A30" s="7" t="inlineStr">
        <is>
          <t>MRR</t>
        </is>
      </c>
      <c r="B30" s="12">
        <f>SUMIFS(Variables!R2:R47, Variables!C2:C47,"MFG Account")</f>
        <v/>
      </c>
      <c r="C30" s="12">
        <f>SUMIFS(Variables!R2:R47, Variables!C2:C47,"Manufacturing")</f>
        <v/>
      </c>
      <c r="D30" s="9">
        <f>IFERROR(B30/C30,"")</f>
        <v/>
      </c>
    </row>
    <row r="31">
      <c r="A31" s="7" t="inlineStr">
        <is>
          <t>Close / Demo</t>
        </is>
      </c>
      <c r="B31" s="10">
        <f>IFERROR((SUMIFS(Variables!P2:P47, Variables!C2:C47,"MFG Account"))/(SUMIFS(Variables!K2:K47, Variables!C2:C47,"MFG Account")),0)</f>
        <v/>
      </c>
      <c r="C31" s="10">
        <f>IFERROR((SUMIFS(Variables!P2:P47, Variables!C2:C47,"Manufacturing"))/(SUMIFS(Variables!K2:K47, Variables!C2:C47,"Manufacturing")),0)</f>
        <v/>
      </c>
      <c r="D31" s="9">
        <f>IFERROR(B31/C31,"")</f>
        <v/>
      </c>
    </row>
    <row r="32">
      <c r="A32" s="7" t="inlineStr">
        <is>
          <t>Close / Show-up</t>
        </is>
      </c>
      <c r="B32" s="10">
        <f>IFERROR((SUMIFS(Variables!P2:P47, Variables!C2:C47,"MFG Account"))/(SUMIFS(Variables!L2:L47, Variables!C2:C47,"MFG Account")),0)</f>
        <v/>
      </c>
      <c r="C32" s="10">
        <f>IFERROR((SUMIFS(Variables!P2:P47, Variables!C2:C47,"Manufacturing"))/(SUMIFS(Variables!L2:L47, Variables!C2:C47,"Manufacturing")),0)</f>
        <v/>
      </c>
      <c r="D32" s="9">
        <f>IFERROR(B32/C32,"")</f>
        <v/>
      </c>
    </row>
    <row r="33">
      <c r="A33" s="7" t="inlineStr">
        <is>
          <t>Close / Interested</t>
        </is>
      </c>
      <c r="B33" s="10">
        <f>IFERROR((SUMIFS(Variables!P2:P47, Variables!C2:C47,"MFG Account"))/(SUMIFS(Variables!J2:J47, Variables!C2:C47,"MFG Account")),0)</f>
        <v/>
      </c>
      <c r="C33" s="10">
        <f>IFERROR((SUMIFS(Variables!P2:P47, Variables!C2:C47,"Manufacturing"))/(SUMIFS(Variables!J2:J47, Variables!C2:C47,"Manufacturing")),0)</f>
        <v/>
      </c>
      <c r="D33" s="9">
        <f>IFERROR(B33/C33,"")</f>
        <v/>
      </c>
    </row>
    <row r="34">
      <c r="A34" s="7" t="inlineStr">
        <is>
          <t>Close / Lead</t>
        </is>
      </c>
      <c r="B34" s="11">
        <f>IFERROR((SUMIFS(Variables!P2:P47, Variables!C2:C47,"MFG Account"))/(SUMIFS(Variables!G2:G47, Variables!C2:C47,"MFG Account")),0)</f>
        <v/>
      </c>
      <c r="C34" s="11">
        <f>IFERROR((SUMIFS(Variables!P2:P47, Variables!C2:C47,"Manufacturing"))/(SUMIFS(Variables!G2:G47, Variables!C2:C47,"Manufacturing")),0)</f>
        <v/>
      </c>
      <c r="D34" s="9">
        <f>IFERROR(B34/C34,"")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6" customWidth="1" min="3" max="3"/>
    <col width="16" customWidth="1" min="4" max="4"/>
  </cols>
  <sheetData>
    <row r="1">
      <c r="A1" s="3" t="inlineStr">
        <is>
          <t>Industry</t>
        </is>
      </c>
      <c r="B1" s="3" t="inlineStr">
        <is>
          <t>Cell ref</t>
        </is>
      </c>
    </row>
    <row r="2">
      <c r="A2" s="3" t="inlineStr">
        <is>
          <t>Corporate Training</t>
        </is>
      </c>
      <c r="B2" s="4" t="inlineStr">
        <is>
          <t>used by all formulas below ↓</t>
        </is>
      </c>
    </row>
    <row r="4">
      <c r="A4" s="2" t="inlineStr">
        <is>
          <t>Metric</t>
        </is>
      </c>
      <c r="B4" s="2" t="inlineStr">
        <is>
          <t>Corporate Training</t>
        </is>
      </c>
      <c r="C4" s="2" t="inlineStr">
        <is>
          <t>Manufacturing (benchmark)</t>
        </is>
      </c>
      <c r="D4" s="2" t="inlineStr">
        <is>
          <t>Index vs MFG</t>
        </is>
      </c>
    </row>
    <row r="5">
      <c r="A5" s="5" t="inlineStr">
        <is>
          <t>EMAIL</t>
        </is>
      </c>
      <c r="B5" s="6" t="n"/>
      <c r="C5" s="6" t="n"/>
      <c r="D5" s="6" t="n"/>
    </row>
    <row r="6">
      <c r="A6" s="7" t="inlineStr">
        <is>
          <t>Emails Sent</t>
        </is>
      </c>
      <c r="B6" s="8">
        <f>SUMIFS(Variables!F2:F47, Variables!C2:C47,"Corporate Training")</f>
        <v/>
      </c>
      <c r="C6" s="8">
        <f>SUMIFS(Variables!F2:F47, Variables!C2:C47,"Manufacturing")</f>
        <v/>
      </c>
      <c r="D6" s="9">
        <f>IFERROR(B6/C6,"")</f>
        <v/>
      </c>
    </row>
    <row r="7">
      <c r="A7" s="7" t="inlineStr">
        <is>
          <t>Leads Contacted</t>
        </is>
      </c>
      <c r="B7" s="8">
        <f>SUMIFS(Variables!G2:G47, Variables!C2:C47,"Corporate Training")</f>
        <v/>
      </c>
      <c r="C7" s="8">
        <f>SUMIFS(Variables!G2:G47, Variables!C2:C47,"Manufacturing")</f>
        <v/>
      </c>
      <c r="D7" s="9">
        <f>IFERROR(B7/C7,"")</f>
        <v/>
      </c>
    </row>
    <row r="8">
      <c r="A8" s="7" t="inlineStr">
        <is>
          <t>Replied (total)</t>
        </is>
      </c>
      <c r="B8" s="8">
        <f>SUMIFS(Variables!H2:H47, Variables!C2:C47,"Corporate Training")</f>
        <v/>
      </c>
      <c r="C8" s="8">
        <f>SUMIFS(Variables!H2:H47, Variables!C2:C47,"Manufacturing")</f>
        <v/>
      </c>
      <c r="D8" s="9">
        <f>IFERROR(B8/C8,"")</f>
        <v/>
      </c>
    </row>
    <row r="9">
      <c r="A9" s="7" t="inlineStr">
        <is>
          <t>Reply Rate (per lead)</t>
        </is>
      </c>
      <c r="B9" s="10">
        <f>IFERROR((SUMIFS(Variables!H2:H47, Variables!C2:C47,"Corporate Training"))/(SUMIFS(Variables!G2:G47, Variables!C2:C47,"Corporate Training")),0)</f>
        <v/>
      </c>
      <c r="C9" s="10">
        <f>IFERROR((SUMIFS(Variables!H2:H47, Variables!C2:C47,"Manufacturing"))/(SUMIFS(Variables!G2:G47, Variables!C2:C47,"Manufacturing")),0)</f>
        <v/>
      </c>
      <c r="D9" s="9">
        <f>IFERROR(B9/C9,"")</f>
        <v/>
      </c>
    </row>
    <row r="10">
      <c r="A10" s="7" t="inlineStr">
        <is>
          <t>Bounced</t>
        </is>
      </c>
      <c r="B10" s="8">
        <f>SUMIFS(Variables!I2:I47, Variables!C2:C47,"Corporate Training")</f>
        <v/>
      </c>
      <c r="C10" s="8">
        <f>SUMIFS(Variables!I2:I47, Variables!C2:C47,"Manufacturing")</f>
        <v/>
      </c>
      <c r="D10" s="9">
        <f>IFERROR(B10/C10,"")</f>
        <v/>
      </c>
    </row>
    <row r="11">
      <c r="A11" s="7" t="inlineStr">
        <is>
          <t>Bounce % (per lead)</t>
        </is>
      </c>
      <c r="B11" s="10">
        <f>IFERROR((SUMIFS(Variables!I2:I47, Variables!C2:C47,"Corporate Training"))/(SUMIFS(Variables!G2:G47, Variables!C2:C47,"Corporate Training")),0)</f>
        <v/>
      </c>
      <c r="C11" s="10">
        <f>IFERROR((SUMIFS(Variables!I2:I47, Variables!C2:C47,"Manufacturing"))/(SUMIFS(Variables!G2:G47, Variables!C2:C47,"Manufacturing")),0)</f>
        <v/>
      </c>
      <c r="D11" s="9">
        <f>IFERROR(B11/C11,"")</f>
        <v/>
      </c>
    </row>
    <row r="12">
      <c r="A12" s="7" t="inlineStr">
        <is>
          <t>Interested Replies</t>
        </is>
      </c>
      <c r="B12" s="8">
        <f>SUMIFS(Variables!J2:J47, Variables!C2:C47,"Corporate Training")</f>
        <v/>
      </c>
      <c r="C12" s="8">
        <f>SUMIFS(Variables!J2:J47, Variables!C2:C47,"Manufacturing")</f>
        <v/>
      </c>
      <c r="D12" s="9">
        <f>IFERROR(B12/C12,"")</f>
        <v/>
      </c>
    </row>
    <row r="13">
      <c r="A13" s="7" t="inlineStr">
        <is>
          <t>Interest Rate (per lead)</t>
        </is>
      </c>
      <c r="B13" s="11">
        <f>IFERROR((SUMIFS(Variables!J2:J47, Variables!C2:C47,"Corporate Training"))/(SUMIFS(Variables!G2:G47, Variables!C2:C47,"Corporate Training")),0)</f>
        <v/>
      </c>
      <c r="C13" s="11">
        <f>IFERROR((SUMIFS(Variables!J2:J47, Variables!C2:C47,"Manufacturing"))/(SUMIFS(Variables!G2:G47, Variables!C2:C47,"Manufacturing")),0)</f>
        <v/>
      </c>
      <c r="D13" s="9">
        <f>IFERROR(B13/C13,"")</f>
        <v/>
      </c>
    </row>
    <row r="14">
      <c r="A14" s="5" t="inlineStr">
        <is>
          <t>DEMOS</t>
        </is>
      </c>
      <c r="B14" s="6" t="n"/>
      <c r="C14" s="6" t="n"/>
      <c r="D14" s="6" t="n"/>
    </row>
    <row r="15">
      <c r="A15" s="7" t="inlineStr">
        <is>
          <t>Demos Booked</t>
        </is>
      </c>
      <c r="B15" s="8">
        <f>SUMIFS(Variables!K2:K47, Variables!C2:C47,"Corporate Training")</f>
        <v/>
      </c>
      <c r="C15" s="8">
        <f>SUMIFS(Variables!K2:K47, Variables!C2:C47,"Manufacturing")</f>
        <v/>
      </c>
      <c r="D15" s="9">
        <f>IFERROR(B15/C15,"")</f>
        <v/>
      </c>
    </row>
    <row r="16">
      <c r="A16" s="7" t="inlineStr">
        <is>
          <t>Pending Demos</t>
        </is>
      </c>
      <c r="B16" s="8">
        <f>SUMIFS(Variables!M2:M47, Variables!C2:C47,"Corporate Training")</f>
        <v/>
      </c>
      <c r="C16" s="8">
        <f>SUMIFS(Variables!M2:M47, Variables!C2:C47,"Manufacturing")</f>
        <v/>
      </c>
      <c r="D16" s="9">
        <f>IFERROR(B16/C16,"")</f>
        <v/>
      </c>
    </row>
    <row r="17">
      <c r="A17" s="7" t="inlineStr">
        <is>
          <t>Demos / Emails Sent</t>
        </is>
      </c>
      <c r="B17" s="11">
        <f>IFERROR((SUMIFS(Variables!K2:K47, Variables!C2:C47,"Corporate Training"))/(SUMIFS(Variables!F2:F47, Variables!C2:C47,"Corporate Training")),0)</f>
        <v/>
      </c>
      <c r="C17" s="11">
        <f>IFERROR((SUMIFS(Variables!K2:K47, Variables!C2:C47,"Manufacturing"))/(SUMIFS(Variables!F2:F47, Variables!C2:C47,"Manufacturing")),0)</f>
        <v/>
      </c>
      <c r="D17" s="9">
        <f>IFERROR(B17/C17,"")</f>
        <v/>
      </c>
    </row>
    <row r="18">
      <c r="A18" s="7" t="inlineStr">
        <is>
          <t>Demos / Leads Contacted</t>
        </is>
      </c>
      <c r="B18" s="11">
        <f>IFERROR((SUMIFS(Variables!K2:K47, Variables!C2:C47,"Corporate Training"))/(SUMIFS(Variables!G2:G47, Variables!C2:C47,"Corporate Training")),0)</f>
        <v/>
      </c>
      <c r="C18" s="11">
        <f>IFERROR((SUMIFS(Variables!K2:K47, Variables!C2:C47,"Manufacturing"))/(SUMIFS(Variables!G2:G47, Variables!C2:C47,"Manufacturing")),0)</f>
        <v/>
      </c>
      <c r="D18" s="9">
        <f>IFERROR(B18/C18,"")</f>
        <v/>
      </c>
    </row>
    <row r="19">
      <c r="A19" s="7" t="inlineStr">
        <is>
          <t>Demos / Interested</t>
        </is>
      </c>
      <c r="B19" s="10">
        <f>IFERROR((SUMIFS(Variables!K2:K47, Variables!C2:C47,"Corporate Training"))/(SUMIFS(Variables!J2:J47, Variables!C2:C47,"Corporate Training")),0)</f>
        <v/>
      </c>
      <c r="C19" s="10">
        <f>IFERROR((SUMIFS(Variables!K2:K47, Variables!C2:C47,"Manufacturing"))/(SUMIFS(Variables!J2:J47, Variables!C2:C47,"Manufacturing")),0)</f>
        <v/>
      </c>
      <c r="D19" s="9">
        <f>IFERROR(B19/C19,"")</f>
        <v/>
      </c>
    </row>
    <row r="20">
      <c r="A20" s="5" t="inlineStr">
        <is>
          <t>SHOW-UPS</t>
        </is>
      </c>
      <c r="B20" s="6" t="n"/>
      <c r="C20" s="6" t="n"/>
      <c r="D20" s="6" t="n"/>
    </row>
    <row r="21">
      <c r="A21" s="7" t="inlineStr">
        <is>
          <t>Total Show-ups</t>
        </is>
      </c>
      <c r="B21" s="8">
        <f>SUMIFS(Variables!L2:L47, Variables!C2:C47,"Corporate Training")</f>
        <v/>
      </c>
      <c r="C21" s="8">
        <f>SUMIFS(Variables!L2:L47, Variables!C2:C47,"Manufacturing")</f>
        <v/>
      </c>
      <c r="D21" s="9">
        <f>IFERROR(B21/C21,"")</f>
        <v/>
      </c>
    </row>
    <row r="22">
      <c r="A22" s="7" t="inlineStr">
        <is>
          <t>No-shows</t>
        </is>
      </c>
      <c r="B22" s="8">
        <f>SUMIFS(Variables!N2:N47, Variables!C2:C47,"Corporate Training")</f>
        <v/>
      </c>
      <c r="C22" s="8">
        <f>SUMIFS(Variables!N2:N47, Variables!C2:C47,"Manufacturing")</f>
        <v/>
      </c>
      <c r="D22" s="9">
        <f>IFERROR(B22/C22,"")</f>
        <v/>
      </c>
    </row>
    <row r="23">
      <c r="A23" s="7" t="inlineStr">
        <is>
          <t>Show-ups / Emails Sent</t>
        </is>
      </c>
      <c r="B23" s="11">
        <f>IFERROR((SUMIFS(Variables!L2:L47, Variables!C2:C47,"Corporate Training"))/(SUMIFS(Variables!F2:F47, Variables!C2:C47,"Corporate Training")),0)</f>
        <v/>
      </c>
      <c r="C23" s="11">
        <f>IFERROR((SUMIFS(Variables!L2:L47, Variables!C2:C47,"Manufacturing"))/(SUMIFS(Variables!F2:F47, Variables!C2:C47,"Manufacturing")),0)</f>
        <v/>
      </c>
      <c r="D23" s="9">
        <f>IFERROR(B23/C23,"")</f>
        <v/>
      </c>
    </row>
    <row r="24">
      <c r="A24" s="7" t="inlineStr">
        <is>
          <t>Show-ups / Leads Contacted</t>
        </is>
      </c>
      <c r="B24" s="11">
        <f>IFERROR((SUMIFS(Variables!L2:L47, Variables!C2:C47,"Corporate Training"))/(SUMIFS(Variables!G2:G47, Variables!C2:C47,"Corporate Training")),0)</f>
        <v/>
      </c>
      <c r="C24" s="11">
        <f>IFERROR((SUMIFS(Variables!L2:L47, Variables!C2:C47,"Manufacturing"))/(SUMIFS(Variables!G2:G47, Variables!C2:C47,"Manufacturing")),0)</f>
        <v/>
      </c>
      <c r="D24" s="9">
        <f>IFERROR(B24/C24,"")</f>
        <v/>
      </c>
    </row>
    <row r="25">
      <c r="A25" s="7" t="inlineStr">
        <is>
          <t>Show-up Rate (Shows / Completed)</t>
        </is>
      </c>
      <c r="B25" s="10">
        <f>IFERROR((SUMIFS(Variables!L2:L47, Variables!C2:C47,"Corporate Training"))/(SUMIFS(Variables!O2:O47, Variables!C2:C47,"Corporate Training")),0)</f>
        <v/>
      </c>
      <c r="C25" s="10">
        <f>IFERROR((SUMIFS(Variables!L2:L47, Variables!C2:C47,"Manufacturing"))/(SUMIFS(Variables!O2:O47, Variables!C2:C47,"Manufacturing")),0)</f>
        <v/>
      </c>
      <c r="D25" s="9">
        <f>IFERROR(B25/C25,"")</f>
        <v/>
      </c>
    </row>
    <row r="26">
      <c r="A26" s="7" t="inlineStr">
        <is>
          <t>Show-ups / Interested</t>
        </is>
      </c>
      <c r="B26" s="10">
        <f>IFERROR((SUMIFS(Variables!L2:L47, Variables!C2:C47,"Corporate Training"))/(SUMIFS(Variables!J2:J47, Variables!C2:C47,"Corporate Training")),0)</f>
        <v/>
      </c>
      <c r="C26" s="10">
        <f>IFERROR((SUMIFS(Variables!L2:L47, Variables!C2:C47,"Manufacturing"))/(SUMIFS(Variables!J2:J47, Variables!C2:C47,"Manufacturing")),0)</f>
        <v/>
      </c>
      <c r="D26" s="9">
        <f>IFERROR(B26/C26,"")</f>
        <v/>
      </c>
    </row>
    <row r="27">
      <c r="A27" s="5" t="inlineStr">
        <is>
          <t>CLOSED (ONBOARDINGS)</t>
        </is>
      </c>
      <c r="B27" s="6" t="n"/>
      <c r="C27" s="6" t="n"/>
      <c r="D27" s="6" t="n"/>
    </row>
    <row r="28">
      <c r="A28" s="7" t="inlineStr">
        <is>
          <t>Closed Deals</t>
        </is>
      </c>
      <c r="B28" s="8">
        <f>SUMIFS(Variables!P2:P47, Variables!C2:C47,"Corporate Training")</f>
        <v/>
      </c>
      <c r="C28" s="8">
        <f>SUMIFS(Variables!P2:P47, Variables!C2:C47,"Manufacturing")</f>
        <v/>
      </c>
      <c r="D28" s="9">
        <f>IFERROR(B28/C28,"")</f>
        <v/>
      </c>
    </row>
    <row r="29">
      <c r="A29" s="7" t="inlineStr">
        <is>
          <t>ARR</t>
        </is>
      </c>
      <c r="B29" s="12">
        <f>SUMIFS(Variables!Q2:Q47, Variables!C2:C47,"Corporate Training")</f>
        <v/>
      </c>
      <c r="C29" s="12">
        <f>SUMIFS(Variables!Q2:Q47, Variables!C2:C47,"Manufacturing")</f>
        <v/>
      </c>
      <c r="D29" s="9">
        <f>IFERROR(B29/C29,"")</f>
        <v/>
      </c>
    </row>
    <row r="30">
      <c r="A30" s="7" t="inlineStr">
        <is>
          <t>MRR</t>
        </is>
      </c>
      <c r="B30" s="12">
        <f>SUMIFS(Variables!R2:R47, Variables!C2:C47,"Corporate Training")</f>
        <v/>
      </c>
      <c r="C30" s="12">
        <f>SUMIFS(Variables!R2:R47, Variables!C2:C47,"Manufacturing")</f>
        <v/>
      </c>
      <c r="D30" s="9">
        <f>IFERROR(B30/C30,"")</f>
        <v/>
      </c>
    </row>
    <row r="31">
      <c r="A31" s="7" t="inlineStr">
        <is>
          <t>Close / Demo</t>
        </is>
      </c>
      <c r="B31" s="10">
        <f>IFERROR((SUMIFS(Variables!P2:P47, Variables!C2:C47,"Corporate Training"))/(SUMIFS(Variables!K2:K47, Variables!C2:C47,"Corporate Training")),0)</f>
        <v/>
      </c>
      <c r="C31" s="10">
        <f>IFERROR((SUMIFS(Variables!P2:P47, Variables!C2:C47,"Manufacturing"))/(SUMIFS(Variables!K2:K47, Variables!C2:C47,"Manufacturing")),0)</f>
        <v/>
      </c>
      <c r="D31" s="9">
        <f>IFERROR(B31/C31,"")</f>
        <v/>
      </c>
    </row>
    <row r="32">
      <c r="A32" s="7" t="inlineStr">
        <is>
          <t>Close / Show-up</t>
        </is>
      </c>
      <c r="B32" s="10">
        <f>IFERROR((SUMIFS(Variables!P2:P47, Variables!C2:C47,"Corporate Training"))/(SUMIFS(Variables!L2:L47, Variables!C2:C47,"Corporate Training")),0)</f>
        <v/>
      </c>
      <c r="C32" s="10">
        <f>IFERROR((SUMIFS(Variables!P2:P47, Variables!C2:C47,"Manufacturing"))/(SUMIFS(Variables!L2:L47, Variables!C2:C47,"Manufacturing")),0)</f>
        <v/>
      </c>
      <c r="D32" s="9">
        <f>IFERROR(B32/C32,"")</f>
        <v/>
      </c>
    </row>
    <row r="33">
      <c r="A33" s="7" t="inlineStr">
        <is>
          <t>Close / Interested</t>
        </is>
      </c>
      <c r="B33" s="10">
        <f>IFERROR((SUMIFS(Variables!P2:P47, Variables!C2:C47,"Corporate Training"))/(SUMIFS(Variables!J2:J47, Variables!C2:C47,"Corporate Training")),0)</f>
        <v/>
      </c>
      <c r="C33" s="10">
        <f>IFERROR((SUMIFS(Variables!P2:P47, Variables!C2:C47,"Manufacturing"))/(SUMIFS(Variables!J2:J47, Variables!C2:C47,"Manufacturing")),0)</f>
        <v/>
      </c>
      <c r="D33" s="9">
        <f>IFERROR(B33/C33,"")</f>
        <v/>
      </c>
    </row>
    <row r="34">
      <c r="A34" s="7" t="inlineStr">
        <is>
          <t>Close / Lead</t>
        </is>
      </c>
      <c r="B34" s="11">
        <f>IFERROR((SUMIFS(Variables!P2:P47, Variables!C2:C47,"Corporate Training"))/(SUMIFS(Variables!G2:G47, Variables!C2:C47,"Corporate Training")),0)</f>
        <v/>
      </c>
      <c r="C34" s="11">
        <f>IFERROR((SUMIFS(Variables!P2:P47, Variables!C2:C47,"Manufacturing"))/(SUMIFS(Variables!G2:G47, Variables!C2:C47,"Manufacturing")),0)</f>
        <v/>
      </c>
      <c r="D34" s="9">
        <f>IFERROR(B34/C34,"")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6" customWidth="1" min="3" max="3"/>
    <col width="16" customWidth="1" min="4" max="4"/>
  </cols>
  <sheetData>
    <row r="1">
      <c r="A1" s="3" t="inlineStr">
        <is>
          <t>Industry</t>
        </is>
      </c>
      <c r="B1" s="3" t="inlineStr">
        <is>
          <t>Cell ref</t>
        </is>
      </c>
    </row>
    <row r="2">
      <c r="A2" s="3" t="inlineStr">
        <is>
          <t>MFG 1-5</t>
        </is>
      </c>
      <c r="B2" s="4" t="inlineStr">
        <is>
          <t>used by all formulas below ↓</t>
        </is>
      </c>
    </row>
    <row r="4">
      <c r="A4" s="2" t="inlineStr">
        <is>
          <t>Metric</t>
        </is>
      </c>
      <c r="B4" s="2" t="inlineStr">
        <is>
          <t>MFG 1-5</t>
        </is>
      </c>
      <c r="C4" s="2" t="inlineStr">
        <is>
          <t>Manufacturing (benchmark)</t>
        </is>
      </c>
      <c r="D4" s="2" t="inlineStr">
        <is>
          <t>Index vs MFG</t>
        </is>
      </c>
    </row>
    <row r="5">
      <c r="A5" s="5" t="inlineStr">
        <is>
          <t>EMAIL</t>
        </is>
      </c>
      <c r="B5" s="6" t="n"/>
      <c r="C5" s="6" t="n"/>
      <c r="D5" s="6" t="n"/>
    </row>
    <row r="6">
      <c r="A6" s="7" t="inlineStr">
        <is>
          <t>Emails Sent</t>
        </is>
      </c>
      <c r="B6" s="8">
        <f>SUMIFS(Variables!F2:F47, Variables!C2:C47,"MFG 1-5")</f>
        <v/>
      </c>
      <c r="C6" s="8">
        <f>SUMIFS(Variables!F2:F47, Variables!C2:C47,"Manufacturing")</f>
        <v/>
      </c>
      <c r="D6" s="9">
        <f>IFERROR(B6/C6,"")</f>
        <v/>
      </c>
    </row>
    <row r="7">
      <c r="A7" s="7" t="inlineStr">
        <is>
          <t>Leads Contacted</t>
        </is>
      </c>
      <c r="B7" s="8">
        <f>SUMIFS(Variables!G2:G47, Variables!C2:C47,"MFG 1-5")</f>
        <v/>
      </c>
      <c r="C7" s="8">
        <f>SUMIFS(Variables!G2:G47, Variables!C2:C47,"Manufacturing")</f>
        <v/>
      </c>
      <c r="D7" s="9">
        <f>IFERROR(B7/C7,"")</f>
        <v/>
      </c>
    </row>
    <row r="8">
      <c r="A8" s="7" t="inlineStr">
        <is>
          <t>Replied (total)</t>
        </is>
      </c>
      <c r="B8" s="8">
        <f>SUMIFS(Variables!H2:H47, Variables!C2:C47,"MFG 1-5")</f>
        <v/>
      </c>
      <c r="C8" s="8">
        <f>SUMIFS(Variables!H2:H47, Variables!C2:C47,"Manufacturing")</f>
        <v/>
      </c>
      <c r="D8" s="9">
        <f>IFERROR(B8/C8,"")</f>
        <v/>
      </c>
    </row>
    <row r="9">
      <c r="A9" s="7" t="inlineStr">
        <is>
          <t>Reply Rate (per lead)</t>
        </is>
      </c>
      <c r="B9" s="10">
        <f>IFERROR((SUMIFS(Variables!H2:H47, Variables!C2:C47,"MFG 1-5"))/(SUMIFS(Variables!G2:G47, Variables!C2:C47,"MFG 1-5")),0)</f>
        <v/>
      </c>
      <c r="C9" s="10">
        <f>IFERROR((SUMIFS(Variables!H2:H47, Variables!C2:C47,"Manufacturing"))/(SUMIFS(Variables!G2:G47, Variables!C2:C47,"Manufacturing")),0)</f>
        <v/>
      </c>
      <c r="D9" s="9">
        <f>IFERROR(B9/C9,"")</f>
        <v/>
      </c>
    </row>
    <row r="10">
      <c r="A10" s="7" t="inlineStr">
        <is>
          <t>Bounced</t>
        </is>
      </c>
      <c r="B10" s="8">
        <f>SUMIFS(Variables!I2:I47, Variables!C2:C47,"MFG 1-5")</f>
        <v/>
      </c>
      <c r="C10" s="8">
        <f>SUMIFS(Variables!I2:I47, Variables!C2:C47,"Manufacturing")</f>
        <v/>
      </c>
      <c r="D10" s="9">
        <f>IFERROR(B10/C10,"")</f>
        <v/>
      </c>
    </row>
    <row r="11">
      <c r="A11" s="7" t="inlineStr">
        <is>
          <t>Bounce % (per lead)</t>
        </is>
      </c>
      <c r="B11" s="10">
        <f>IFERROR((SUMIFS(Variables!I2:I47, Variables!C2:C47,"MFG 1-5"))/(SUMIFS(Variables!G2:G47, Variables!C2:C47,"MFG 1-5")),0)</f>
        <v/>
      </c>
      <c r="C11" s="10">
        <f>IFERROR((SUMIFS(Variables!I2:I47, Variables!C2:C47,"Manufacturing"))/(SUMIFS(Variables!G2:G47, Variables!C2:C47,"Manufacturing")),0)</f>
        <v/>
      </c>
      <c r="D11" s="9">
        <f>IFERROR(B11/C11,"")</f>
        <v/>
      </c>
    </row>
    <row r="12">
      <c r="A12" s="7" t="inlineStr">
        <is>
          <t>Interested Replies</t>
        </is>
      </c>
      <c r="B12" s="8">
        <f>SUMIFS(Variables!J2:J47, Variables!C2:C47,"MFG 1-5")</f>
        <v/>
      </c>
      <c r="C12" s="8">
        <f>SUMIFS(Variables!J2:J47, Variables!C2:C47,"Manufacturing")</f>
        <v/>
      </c>
      <c r="D12" s="9">
        <f>IFERROR(B12/C12,"")</f>
        <v/>
      </c>
    </row>
    <row r="13">
      <c r="A13" s="7" t="inlineStr">
        <is>
          <t>Interest Rate (per lead)</t>
        </is>
      </c>
      <c r="B13" s="11">
        <f>IFERROR((SUMIFS(Variables!J2:J47, Variables!C2:C47,"MFG 1-5"))/(SUMIFS(Variables!G2:G47, Variables!C2:C47,"MFG 1-5")),0)</f>
        <v/>
      </c>
      <c r="C13" s="11">
        <f>IFERROR((SUMIFS(Variables!J2:J47, Variables!C2:C47,"Manufacturing"))/(SUMIFS(Variables!G2:G47, Variables!C2:C47,"Manufacturing")),0)</f>
        <v/>
      </c>
      <c r="D13" s="9">
        <f>IFERROR(B13/C13,"")</f>
        <v/>
      </c>
    </row>
    <row r="14">
      <c r="A14" s="5" t="inlineStr">
        <is>
          <t>DEMOS</t>
        </is>
      </c>
      <c r="B14" s="6" t="n"/>
      <c r="C14" s="6" t="n"/>
      <c r="D14" s="6" t="n"/>
    </row>
    <row r="15">
      <c r="A15" s="7" t="inlineStr">
        <is>
          <t>Demos Booked</t>
        </is>
      </c>
      <c r="B15" s="8">
        <f>SUMIFS(Variables!K2:K47, Variables!C2:C47,"MFG 1-5")</f>
        <v/>
      </c>
      <c r="C15" s="8">
        <f>SUMIFS(Variables!K2:K47, Variables!C2:C47,"Manufacturing")</f>
        <v/>
      </c>
      <c r="D15" s="9">
        <f>IFERROR(B15/C15,"")</f>
        <v/>
      </c>
    </row>
    <row r="16">
      <c r="A16" s="7" t="inlineStr">
        <is>
          <t>Pending Demos</t>
        </is>
      </c>
      <c r="B16" s="8">
        <f>SUMIFS(Variables!M2:M47, Variables!C2:C47,"MFG 1-5")</f>
        <v/>
      </c>
      <c r="C16" s="8">
        <f>SUMIFS(Variables!M2:M47, Variables!C2:C47,"Manufacturing")</f>
        <v/>
      </c>
      <c r="D16" s="9">
        <f>IFERROR(B16/C16,"")</f>
        <v/>
      </c>
    </row>
    <row r="17">
      <c r="A17" s="7" t="inlineStr">
        <is>
          <t>Demos / Emails Sent</t>
        </is>
      </c>
      <c r="B17" s="11">
        <f>IFERROR((SUMIFS(Variables!K2:K47, Variables!C2:C47,"MFG 1-5"))/(SUMIFS(Variables!F2:F47, Variables!C2:C47,"MFG 1-5")),0)</f>
        <v/>
      </c>
      <c r="C17" s="11">
        <f>IFERROR((SUMIFS(Variables!K2:K47, Variables!C2:C47,"Manufacturing"))/(SUMIFS(Variables!F2:F47, Variables!C2:C47,"Manufacturing")),0)</f>
        <v/>
      </c>
      <c r="D17" s="9">
        <f>IFERROR(B17/C17,"")</f>
        <v/>
      </c>
    </row>
    <row r="18">
      <c r="A18" s="7" t="inlineStr">
        <is>
          <t>Demos / Leads Contacted</t>
        </is>
      </c>
      <c r="B18" s="11">
        <f>IFERROR((SUMIFS(Variables!K2:K47, Variables!C2:C47,"MFG 1-5"))/(SUMIFS(Variables!G2:G47, Variables!C2:C47,"MFG 1-5")),0)</f>
        <v/>
      </c>
      <c r="C18" s="11">
        <f>IFERROR((SUMIFS(Variables!K2:K47, Variables!C2:C47,"Manufacturing"))/(SUMIFS(Variables!G2:G47, Variables!C2:C47,"Manufacturing")),0)</f>
        <v/>
      </c>
      <c r="D18" s="9">
        <f>IFERROR(B18/C18,"")</f>
        <v/>
      </c>
    </row>
    <row r="19">
      <c r="A19" s="7" t="inlineStr">
        <is>
          <t>Demos / Interested</t>
        </is>
      </c>
      <c r="B19" s="10">
        <f>IFERROR((SUMIFS(Variables!K2:K47, Variables!C2:C47,"MFG 1-5"))/(SUMIFS(Variables!J2:J47, Variables!C2:C47,"MFG 1-5")),0)</f>
        <v/>
      </c>
      <c r="C19" s="10">
        <f>IFERROR((SUMIFS(Variables!K2:K47, Variables!C2:C47,"Manufacturing"))/(SUMIFS(Variables!J2:J47, Variables!C2:C47,"Manufacturing")),0)</f>
        <v/>
      </c>
      <c r="D19" s="9">
        <f>IFERROR(B19/C19,"")</f>
        <v/>
      </c>
    </row>
    <row r="20">
      <c r="A20" s="5" t="inlineStr">
        <is>
          <t>SHOW-UPS</t>
        </is>
      </c>
      <c r="B20" s="6" t="n"/>
      <c r="C20" s="6" t="n"/>
      <c r="D20" s="6" t="n"/>
    </row>
    <row r="21">
      <c r="A21" s="7" t="inlineStr">
        <is>
          <t>Total Show-ups</t>
        </is>
      </c>
      <c r="B21" s="8">
        <f>SUMIFS(Variables!L2:L47, Variables!C2:C47,"MFG 1-5")</f>
        <v/>
      </c>
      <c r="C21" s="8">
        <f>SUMIFS(Variables!L2:L47, Variables!C2:C47,"Manufacturing")</f>
        <v/>
      </c>
      <c r="D21" s="9">
        <f>IFERROR(B21/C21,"")</f>
        <v/>
      </c>
    </row>
    <row r="22">
      <c r="A22" s="7" t="inlineStr">
        <is>
          <t>No-shows</t>
        </is>
      </c>
      <c r="B22" s="8">
        <f>SUMIFS(Variables!N2:N47, Variables!C2:C47,"MFG 1-5")</f>
        <v/>
      </c>
      <c r="C22" s="8">
        <f>SUMIFS(Variables!N2:N47, Variables!C2:C47,"Manufacturing")</f>
        <v/>
      </c>
      <c r="D22" s="9">
        <f>IFERROR(B22/C22,"")</f>
        <v/>
      </c>
    </row>
    <row r="23">
      <c r="A23" s="7" t="inlineStr">
        <is>
          <t>Show-ups / Emails Sent</t>
        </is>
      </c>
      <c r="B23" s="11">
        <f>IFERROR((SUMIFS(Variables!L2:L47, Variables!C2:C47,"MFG 1-5"))/(SUMIFS(Variables!F2:F47, Variables!C2:C47,"MFG 1-5")),0)</f>
        <v/>
      </c>
      <c r="C23" s="11">
        <f>IFERROR((SUMIFS(Variables!L2:L47, Variables!C2:C47,"Manufacturing"))/(SUMIFS(Variables!F2:F47, Variables!C2:C47,"Manufacturing")),0)</f>
        <v/>
      </c>
      <c r="D23" s="9">
        <f>IFERROR(B23/C23,"")</f>
        <v/>
      </c>
    </row>
    <row r="24">
      <c r="A24" s="7" t="inlineStr">
        <is>
          <t>Show-ups / Leads Contacted</t>
        </is>
      </c>
      <c r="B24" s="11">
        <f>IFERROR((SUMIFS(Variables!L2:L47, Variables!C2:C47,"MFG 1-5"))/(SUMIFS(Variables!G2:G47, Variables!C2:C47,"MFG 1-5")),0)</f>
        <v/>
      </c>
      <c r="C24" s="11">
        <f>IFERROR((SUMIFS(Variables!L2:L47, Variables!C2:C47,"Manufacturing"))/(SUMIFS(Variables!G2:G47, Variables!C2:C47,"Manufacturing")),0)</f>
        <v/>
      </c>
      <c r="D24" s="9">
        <f>IFERROR(B24/C24,"")</f>
        <v/>
      </c>
    </row>
    <row r="25">
      <c r="A25" s="7" t="inlineStr">
        <is>
          <t>Show-up Rate (Shows / Completed)</t>
        </is>
      </c>
      <c r="B25" s="10">
        <f>IFERROR((SUMIFS(Variables!L2:L47, Variables!C2:C47,"MFG 1-5"))/(SUMIFS(Variables!O2:O47, Variables!C2:C47,"MFG 1-5")),0)</f>
        <v/>
      </c>
      <c r="C25" s="10">
        <f>IFERROR((SUMIFS(Variables!L2:L47, Variables!C2:C47,"Manufacturing"))/(SUMIFS(Variables!O2:O47, Variables!C2:C47,"Manufacturing")),0)</f>
        <v/>
      </c>
      <c r="D25" s="9">
        <f>IFERROR(B25/C25,"")</f>
        <v/>
      </c>
    </row>
    <row r="26">
      <c r="A26" s="7" t="inlineStr">
        <is>
          <t>Show-ups / Interested</t>
        </is>
      </c>
      <c r="B26" s="10">
        <f>IFERROR((SUMIFS(Variables!L2:L47, Variables!C2:C47,"MFG 1-5"))/(SUMIFS(Variables!J2:J47, Variables!C2:C47,"MFG 1-5")),0)</f>
        <v/>
      </c>
      <c r="C26" s="10">
        <f>IFERROR((SUMIFS(Variables!L2:L47, Variables!C2:C47,"Manufacturing"))/(SUMIFS(Variables!J2:J47, Variables!C2:C47,"Manufacturing")),0)</f>
        <v/>
      </c>
      <c r="D26" s="9">
        <f>IFERROR(B26/C26,"")</f>
        <v/>
      </c>
    </row>
    <row r="27">
      <c r="A27" s="5" t="inlineStr">
        <is>
          <t>CLOSED (ONBOARDINGS)</t>
        </is>
      </c>
      <c r="B27" s="6" t="n"/>
      <c r="C27" s="6" t="n"/>
      <c r="D27" s="6" t="n"/>
    </row>
    <row r="28">
      <c r="A28" s="7" t="inlineStr">
        <is>
          <t>Closed Deals</t>
        </is>
      </c>
      <c r="B28" s="8">
        <f>SUMIFS(Variables!P2:P47, Variables!C2:C47,"MFG 1-5")</f>
        <v/>
      </c>
      <c r="C28" s="8">
        <f>SUMIFS(Variables!P2:P47, Variables!C2:C47,"Manufacturing")</f>
        <v/>
      </c>
      <c r="D28" s="9">
        <f>IFERROR(B28/C28,"")</f>
        <v/>
      </c>
    </row>
    <row r="29">
      <c r="A29" s="7" t="inlineStr">
        <is>
          <t>ARR</t>
        </is>
      </c>
      <c r="B29" s="12">
        <f>SUMIFS(Variables!Q2:Q47, Variables!C2:C47,"MFG 1-5")</f>
        <v/>
      </c>
      <c r="C29" s="12">
        <f>SUMIFS(Variables!Q2:Q47, Variables!C2:C47,"Manufacturing")</f>
        <v/>
      </c>
      <c r="D29" s="9">
        <f>IFERROR(B29/C29,"")</f>
        <v/>
      </c>
    </row>
    <row r="30">
      <c r="A30" s="7" t="inlineStr">
        <is>
          <t>MRR</t>
        </is>
      </c>
      <c r="B30" s="12">
        <f>SUMIFS(Variables!R2:R47, Variables!C2:C47,"MFG 1-5")</f>
        <v/>
      </c>
      <c r="C30" s="12">
        <f>SUMIFS(Variables!R2:R47, Variables!C2:C47,"Manufacturing")</f>
        <v/>
      </c>
      <c r="D30" s="9">
        <f>IFERROR(B30/C30,"")</f>
        <v/>
      </c>
    </row>
    <row r="31">
      <c r="A31" s="7" t="inlineStr">
        <is>
          <t>Close / Demo</t>
        </is>
      </c>
      <c r="B31" s="10">
        <f>IFERROR((SUMIFS(Variables!P2:P47, Variables!C2:C47,"MFG 1-5"))/(SUMIFS(Variables!K2:K47, Variables!C2:C47,"MFG 1-5")),0)</f>
        <v/>
      </c>
      <c r="C31" s="10">
        <f>IFERROR((SUMIFS(Variables!P2:P47, Variables!C2:C47,"Manufacturing"))/(SUMIFS(Variables!K2:K47, Variables!C2:C47,"Manufacturing")),0)</f>
        <v/>
      </c>
      <c r="D31" s="9">
        <f>IFERROR(B31/C31,"")</f>
        <v/>
      </c>
    </row>
    <row r="32">
      <c r="A32" s="7" t="inlineStr">
        <is>
          <t>Close / Show-up</t>
        </is>
      </c>
      <c r="B32" s="10">
        <f>IFERROR((SUMIFS(Variables!P2:P47, Variables!C2:C47,"MFG 1-5"))/(SUMIFS(Variables!L2:L47, Variables!C2:C47,"MFG 1-5")),0)</f>
        <v/>
      </c>
      <c r="C32" s="10">
        <f>IFERROR((SUMIFS(Variables!P2:P47, Variables!C2:C47,"Manufacturing"))/(SUMIFS(Variables!L2:L47, Variables!C2:C47,"Manufacturing")),0)</f>
        <v/>
      </c>
      <c r="D32" s="9">
        <f>IFERROR(B32/C32,"")</f>
        <v/>
      </c>
    </row>
    <row r="33">
      <c r="A33" s="7" t="inlineStr">
        <is>
          <t>Close / Interested</t>
        </is>
      </c>
      <c r="B33" s="10">
        <f>IFERROR((SUMIFS(Variables!P2:P47, Variables!C2:C47,"MFG 1-5"))/(SUMIFS(Variables!J2:J47, Variables!C2:C47,"MFG 1-5")),0)</f>
        <v/>
      </c>
      <c r="C33" s="10">
        <f>IFERROR((SUMIFS(Variables!P2:P47, Variables!C2:C47,"Manufacturing"))/(SUMIFS(Variables!J2:J47, Variables!C2:C47,"Manufacturing")),0)</f>
        <v/>
      </c>
      <c r="D33" s="9">
        <f>IFERROR(B33/C33,"")</f>
        <v/>
      </c>
    </row>
    <row r="34">
      <c r="A34" s="7" t="inlineStr">
        <is>
          <t>Close / Lead</t>
        </is>
      </c>
      <c r="B34" s="11">
        <f>IFERROR((SUMIFS(Variables!P2:P47, Variables!C2:C47,"MFG 1-5"))/(SUMIFS(Variables!G2:G47, Variables!C2:C47,"MFG 1-5")),0)</f>
        <v/>
      </c>
      <c r="C34" s="11">
        <f>IFERROR((SUMIFS(Variables!P2:P47, Variables!C2:C47,"Manufacturing"))/(SUMIFS(Variables!G2:G47, Variables!C2:C47,"Manufacturing")),0)</f>
        <v/>
      </c>
      <c r="D34" s="9">
        <f>IFERROR(B34/C34,"")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6" customWidth="1" min="3" max="3"/>
    <col width="16" customWidth="1" min="4" max="4"/>
  </cols>
  <sheetData>
    <row r="1">
      <c r="A1" s="3" t="inlineStr">
        <is>
          <t>Industry</t>
        </is>
      </c>
      <c r="B1" s="3" t="inlineStr">
        <is>
          <t>Cell ref</t>
        </is>
      </c>
    </row>
    <row r="2">
      <c r="A2" s="3" t="inlineStr">
        <is>
          <t>Financial Services 1-5</t>
        </is>
      </c>
      <c r="B2" s="4" t="inlineStr">
        <is>
          <t>used by all formulas below ↓</t>
        </is>
      </c>
    </row>
    <row r="4">
      <c r="A4" s="2" t="inlineStr">
        <is>
          <t>Metric</t>
        </is>
      </c>
      <c r="B4" s="2" t="inlineStr">
        <is>
          <t>Financial Services 1-5</t>
        </is>
      </c>
      <c r="C4" s="2" t="inlineStr">
        <is>
          <t>Manufacturing (benchmark)</t>
        </is>
      </c>
      <c r="D4" s="2" t="inlineStr">
        <is>
          <t>Index vs MFG</t>
        </is>
      </c>
    </row>
    <row r="5">
      <c r="A5" s="5" t="inlineStr">
        <is>
          <t>EMAIL</t>
        </is>
      </c>
      <c r="B5" s="6" t="n"/>
      <c r="C5" s="6" t="n"/>
      <c r="D5" s="6" t="n"/>
    </row>
    <row r="6">
      <c r="A6" s="7" t="inlineStr">
        <is>
          <t>Emails Sent</t>
        </is>
      </c>
      <c r="B6" s="8">
        <f>SUMIFS(Variables!F2:F47, Variables!C2:C47,"Financial Services 1-5")</f>
        <v/>
      </c>
      <c r="C6" s="8">
        <f>SUMIFS(Variables!F2:F47, Variables!C2:C47,"Manufacturing")</f>
        <v/>
      </c>
      <c r="D6" s="9">
        <f>IFERROR(B6/C6,"")</f>
        <v/>
      </c>
    </row>
    <row r="7">
      <c r="A7" s="7" t="inlineStr">
        <is>
          <t>Leads Contacted</t>
        </is>
      </c>
      <c r="B7" s="8">
        <f>SUMIFS(Variables!G2:G47, Variables!C2:C47,"Financial Services 1-5")</f>
        <v/>
      </c>
      <c r="C7" s="8">
        <f>SUMIFS(Variables!G2:G47, Variables!C2:C47,"Manufacturing")</f>
        <v/>
      </c>
      <c r="D7" s="9">
        <f>IFERROR(B7/C7,"")</f>
        <v/>
      </c>
    </row>
    <row r="8">
      <c r="A8" s="7" t="inlineStr">
        <is>
          <t>Replied (total)</t>
        </is>
      </c>
      <c r="B8" s="8">
        <f>SUMIFS(Variables!H2:H47, Variables!C2:C47,"Financial Services 1-5")</f>
        <v/>
      </c>
      <c r="C8" s="8">
        <f>SUMIFS(Variables!H2:H47, Variables!C2:C47,"Manufacturing")</f>
        <v/>
      </c>
      <c r="D8" s="9">
        <f>IFERROR(B8/C8,"")</f>
        <v/>
      </c>
    </row>
    <row r="9">
      <c r="A9" s="7" t="inlineStr">
        <is>
          <t>Reply Rate (per lead)</t>
        </is>
      </c>
      <c r="B9" s="10">
        <f>IFERROR((SUMIFS(Variables!H2:H47, Variables!C2:C47,"Financial Services 1-5"))/(SUMIFS(Variables!G2:G47, Variables!C2:C47,"Financial Services 1-5")),0)</f>
        <v/>
      </c>
      <c r="C9" s="10">
        <f>IFERROR((SUMIFS(Variables!H2:H47, Variables!C2:C47,"Manufacturing"))/(SUMIFS(Variables!G2:G47, Variables!C2:C47,"Manufacturing")),0)</f>
        <v/>
      </c>
      <c r="D9" s="9">
        <f>IFERROR(B9/C9,"")</f>
        <v/>
      </c>
    </row>
    <row r="10">
      <c r="A10" s="7" t="inlineStr">
        <is>
          <t>Bounced</t>
        </is>
      </c>
      <c r="B10" s="8">
        <f>SUMIFS(Variables!I2:I47, Variables!C2:C47,"Financial Services 1-5")</f>
        <v/>
      </c>
      <c r="C10" s="8">
        <f>SUMIFS(Variables!I2:I47, Variables!C2:C47,"Manufacturing")</f>
        <v/>
      </c>
      <c r="D10" s="9">
        <f>IFERROR(B10/C10,"")</f>
        <v/>
      </c>
    </row>
    <row r="11">
      <c r="A11" s="7" t="inlineStr">
        <is>
          <t>Bounce % (per lead)</t>
        </is>
      </c>
      <c r="B11" s="10">
        <f>IFERROR((SUMIFS(Variables!I2:I47, Variables!C2:C47,"Financial Services 1-5"))/(SUMIFS(Variables!G2:G47, Variables!C2:C47,"Financial Services 1-5")),0)</f>
        <v/>
      </c>
      <c r="C11" s="10">
        <f>IFERROR((SUMIFS(Variables!I2:I47, Variables!C2:C47,"Manufacturing"))/(SUMIFS(Variables!G2:G47, Variables!C2:C47,"Manufacturing")),0)</f>
        <v/>
      </c>
      <c r="D11" s="9">
        <f>IFERROR(B11/C11,"")</f>
        <v/>
      </c>
    </row>
    <row r="12">
      <c r="A12" s="7" t="inlineStr">
        <is>
          <t>Interested Replies</t>
        </is>
      </c>
      <c r="B12" s="8">
        <f>SUMIFS(Variables!J2:J47, Variables!C2:C47,"Financial Services 1-5")</f>
        <v/>
      </c>
      <c r="C12" s="8">
        <f>SUMIFS(Variables!J2:J47, Variables!C2:C47,"Manufacturing")</f>
        <v/>
      </c>
      <c r="D12" s="9">
        <f>IFERROR(B12/C12,"")</f>
        <v/>
      </c>
    </row>
    <row r="13">
      <c r="A13" s="7" t="inlineStr">
        <is>
          <t>Interest Rate (per lead)</t>
        </is>
      </c>
      <c r="B13" s="11">
        <f>IFERROR((SUMIFS(Variables!J2:J47, Variables!C2:C47,"Financial Services 1-5"))/(SUMIFS(Variables!G2:G47, Variables!C2:C47,"Financial Services 1-5")),0)</f>
        <v/>
      </c>
      <c r="C13" s="11">
        <f>IFERROR((SUMIFS(Variables!J2:J47, Variables!C2:C47,"Manufacturing"))/(SUMIFS(Variables!G2:G47, Variables!C2:C47,"Manufacturing")),0)</f>
        <v/>
      </c>
      <c r="D13" s="9">
        <f>IFERROR(B13/C13,"")</f>
        <v/>
      </c>
    </row>
    <row r="14">
      <c r="A14" s="5" t="inlineStr">
        <is>
          <t>DEMOS</t>
        </is>
      </c>
      <c r="B14" s="6" t="n"/>
      <c r="C14" s="6" t="n"/>
      <c r="D14" s="6" t="n"/>
    </row>
    <row r="15">
      <c r="A15" s="7" t="inlineStr">
        <is>
          <t>Demos Booked</t>
        </is>
      </c>
      <c r="B15" s="8">
        <f>SUMIFS(Variables!K2:K47, Variables!C2:C47,"Financial Services 1-5")</f>
        <v/>
      </c>
      <c r="C15" s="8">
        <f>SUMIFS(Variables!K2:K47, Variables!C2:C47,"Manufacturing")</f>
        <v/>
      </c>
      <c r="D15" s="9">
        <f>IFERROR(B15/C15,"")</f>
        <v/>
      </c>
    </row>
    <row r="16">
      <c r="A16" s="7" t="inlineStr">
        <is>
          <t>Pending Demos</t>
        </is>
      </c>
      <c r="B16" s="8">
        <f>SUMIFS(Variables!M2:M47, Variables!C2:C47,"Financial Services 1-5")</f>
        <v/>
      </c>
      <c r="C16" s="8">
        <f>SUMIFS(Variables!M2:M47, Variables!C2:C47,"Manufacturing")</f>
        <v/>
      </c>
      <c r="D16" s="9">
        <f>IFERROR(B16/C16,"")</f>
        <v/>
      </c>
    </row>
    <row r="17">
      <c r="A17" s="7" t="inlineStr">
        <is>
          <t>Demos / Emails Sent</t>
        </is>
      </c>
      <c r="B17" s="11">
        <f>IFERROR((SUMIFS(Variables!K2:K47, Variables!C2:C47,"Financial Services 1-5"))/(SUMIFS(Variables!F2:F47, Variables!C2:C47,"Financial Services 1-5")),0)</f>
        <v/>
      </c>
      <c r="C17" s="11">
        <f>IFERROR((SUMIFS(Variables!K2:K47, Variables!C2:C47,"Manufacturing"))/(SUMIFS(Variables!F2:F47, Variables!C2:C47,"Manufacturing")),0)</f>
        <v/>
      </c>
      <c r="D17" s="9">
        <f>IFERROR(B17/C17,"")</f>
        <v/>
      </c>
    </row>
    <row r="18">
      <c r="A18" s="7" t="inlineStr">
        <is>
          <t>Demos / Leads Contacted</t>
        </is>
      </c>
      <c r="B18" s="11">
        <f>IFERROR((SUMIFS(Variables!K2:K47, Variables!C2:C47,"Financial Services 1-5"))/(SUMIFS(Variables!G2:G47, Variables!C2:C47,"Financial Services 1-5")),0)</f>
        <v/>
      </c>
      <c r="C18" s="11">
        <f>IFERROR((SUMIFS(Variables!K2:K47, Variables!C2:C47,"Manufacturing"))/(SUMIFS(Variables!G2:G47, Variables!C2:C47,"Manufacturing")),0)</f>
        <v/>
      </c>
      <c r="D18" s="9">
        <f>IFERROR(B18/C18,"")</f>
        <v/>
      </c>
    </row>
    <row r="19">
      <c r="A19" s="7" t="inlineStr">
        <is>
          <t>Demos / Interested</t>
        </is>
      </c>
      <c r="B19" s="10">
        <f>IFERROR((SUMIFS(Variables!K2:K47, Variables!C2:C47,"Financial Services 1-5"))/(SUMIFS(Variables!J2:J47, Variables!C2:C47,"Financial Services 1-5")),0)</f>
        <v/>
      </c>
      <c r="C19" s="10">
        <f>IFERROR((SUMIFS(Variables!K2:K47, Variables!C2:C47,"Manufacturing"))/(SUMIFS(Variables!J2:J47, Variables!C2:C47,"Manufacturing")),0)</f>
        <v/>
      </c>
      <c r="D19" s="9">
        <f>IFERROR(B19/C19,"")</f>
        <v/>
      </c>
    </row>
    <row r="20">
      <c r="A20" s="5" t="inlineStr">
        <is>
          <t>SHOW-UPS</t>
        </is>
      </c>
      <c r="B20" s="6" t="n"/>
      <c r="C20" s="6" t="n"/>
      <c r="D20" s="6" t="n"/>
    </row>
    <row r="21">
      <c r="A21" s="7" t="inlineStr">
        <is>
          <t>Total Show-ups</t>
        </is>
      </c>
      <c r="B21" s="8">
        <f>SUMIFS(Variables!L2:L47, Variables!C2:C47,"Financial Services 1-5")</f>
        <v/>
      </c>
      <c r="C21" s="8">
        <f>SUMIFS(Variables!L2:L47, Variables!C2:C47,"Manufacturing")</f>
        <v/>
      </c>
      <c r="D21" s="9">
        <f>IFERROR(B21/C21,"")</f>
        <v/>
      </c>
    </row>
    <row r="22">
      <c r="A22" s="7" t="inlineStr">
        <is>
          <t>No-shows</t>
        </is>
      </c>
      <c r="B22" s="8">
        <f>SUMIFS(Variables!N2:N47, Variables!C2:C47,"Financial Services 1-5")</f>
        <v/>
      </c>
      <c r="C22" s="8">
        <f>SUMIFS(Variables!N2:N47, Variables!C2:C47,"Manufacturing")</f>
        <v/>
      </c>
      <c r="D22" s="9">
        <f>IFERROR(B22/C22,"")</f>
        <v/>
      </c>
    </row>
    <row r="23">
      <c r="A23" s="7" t="inlineStr">
        <is>
          <t>Show-ups / Emails Sent</t>
        </is>
      </c>
      <c r="B23" s="11">
        <f>IFERROR((SUMIFS(Variables!L2:L47, Variables!C2:C47,"Financial Services 1-5"))/(SUMIFS(Variables!F2:F47, Variables!C2:C47,"Financial Services 1-5")),0)</f>
        <v/>
      </c>
      <c r="C23" s="11">
        <f>IFERROR((SUMIFS(Variables!L2:L47, Variables!C2:C47,"Manufacturing"))/(SUMIFS(Variables!F2:F47, Variables!C2:C47,"Manufacturing")),0)</f>
        <v/>
      </c>
      <c r="D23" s="9">
        <f>IFERROR(B23/C23,"")</f>
        <v/>
      </c>
    </row>
    <row r="24">
      <c r="A24" s="7" t="inlineStr">
        <is>
          <t>Show-ups / Leads Contacted</t>
        </is>
      </c>
      <c r="B24" s="11">
        <f>IFERROR((SUMIFS(Variables!L2:L47, Variables!C2:C47,"Financial Services 1-5"))/(SUMIFS(Variables!G2:G47, Variables!C2:C47,"Financial Services 1-5")),0)</f>
        <v/>
      </c>
      <c r="C24" s="11">
        <f>IFERROR((SUMIFS(Variables!L2:L47, Variables!C2:C47,"Manufacturing"))/(SUMIFS(Variables!G2:G47, Variables!C2:C47,"Manufacturing")),0)</f>
        <v/>
      </c>
      <c r="D24" s="9">
        <f>IFERROR(B24/C24,"")</f>
        <v/>
      </c>
    </row>
    <row r="25">
      <c r="A25" s="7" t="inlineStr">
        <is>
          <t>Show-up Rate (Shows / Completed)</t>
        </is>
      </c>
      <c r="B25" s="10">
        <f>IFERROR((SUMIFS(Variables!L2:L47, Variables!C2:C47,"Financial Services 1-5"))/(SUMIFS(Variables!O2:O47, Variables!C2:C47,"Financial Services 1-5")),0)</f>
        <v/>
      </c>
      <c r="C25" s="10">
        <f>IFERROR((SUMIFS(Variables!L2:L47, Variables!C2:C47,"Manufacturing"))/(SUMIFS(Variables!O2:O47, Variables!C2:C47,"Manufacturing")),0)</f>
        <v/>
      </c>
      <c r="D25" s="9">
        <f>IFERROR(B25/C25,"")</f>
        <v/>
      </c>
    </row>
    <row r="26">
      <c r="A26" s="7" t="inlineStr">
        <is>
          <t>Show-ups / Interested</t>
        </is>
      </c>
      <c r="B26" s="10">
        <f>IFERROR((SUMIFS(Variables!L2:L47, Variables!C2:C47,"Financial Services 1-5"))/(SUMIFS(Variables!J2:J47, Variables!C2:C47,"Financial Services 1-5")),0)</f>
        <v/>
      </c>
      <c r="C26" s="10">
        <f>IFERROR((SUMIFS(Variables!L2:L47, Variables!C2:C47,"Manufacturing"))/(SUMIFS(Variables!J2:J47, Variables!C2:C47,"Manufacturing")),0)</f>
        <v/>
      </c>
      <c r="D26" s="9">
        <f>IFERROR(B26/C26,"")</f>
        <v/>
      </c>
    </row>
    <row r="27">
      <c r="A27" s="5" t="inlineStr">
        <is>
          <t>CLOSED (ONBOARDINGS)</t>
        </is>
      </c>
      <c r="B27" s="6" t="n"/>
      <c r="C27" s="6" t="n"/>
      <c r="D27" s="6" t="n"/>
    </row>
    <row r="28">
      <c r="A28" s="7" t="inlineStr">
        <is>
          <t>Closed Deals</t>
        </is>
      </c>
      <c r="B28" s="8">
        <f>SUMIFS(Variables!P2:P47, Variables!C2:C47,"Financial Services 1-5")</f>
        <v/>
      </c>
      <c r="C28" s="8">
        <f>SUMIFS(Variables!P2:P47, Variables!C2:C47,"Manufacturing")</f>
        <v/>
      </c>
      <c r="D28" s="9">
        <f>IFERROR(B28/C28,"")</f>
        <v/>
      </c>
    </row>
    <row r="29">
      <c r="A29" s="7" t="inlineStr">
        <is>
          <t>ARR</t>
        </is>
      </c>
      <c r="B29" s="12">
        <f>SUMIFS(Variables!Q2:Q47, Variables!C2:C47,"Financial Services 1-5")</f>
        <v/>
      </c>
      <c r="C29" s="12">
        <f>SUMIFS(Variables!Q2:Q47, Variables!C2:C47,"Manufacturing")</f>
        <v/>
      </c>
      <c r="D29" s="9">
        <f>IFERROR(B29/C29,"")</f>
        <v/>
      </c>
    </row>
    <row r="30">
      <c r="A30" s="7" t="inlineStr">
        <is>
          <t>MRR</t>
        </is>
      </c>
      <c r="B30" s="12">
        <f>SUMIFS(Variables!R2:R47, Variables!C2:C47,"Financial Services 1-5")</f>
        <v/>
      </c>
      <c r="C30" s="12">
        <f>SUMIFS(Variables!R2:R47, Variables!C2:C47,"Manufacturing")</f>
        <v/>
      </c>
      <c r="D30" s="9">
        <f>IFERROR(B30/C30,"")</f>
        <v/>
      </c>
    </row>
    <row r="31">
      <c r="A31" s="7" t="inlineStr">
        <is>
          <t>Close / Demo</t>
        </is>
      </c>
      <c r="B31" s="10">
        <f>IFERROR((SUMIFS(Variables!P2:P47, Variables!C2:C47,"Financial Services 1-5"))/(SUMIFS(Variables!K2:K47, Variables!C2:C47,"Financial Services 1-5")),0)</f>
        <v/>
      </c>
      <c r="C31" s="10">
        <f>IFERROR((SUMIFS(Variables!P2:P47, Variables!C2:C47,"Manufacturing"))/(SUMIFS(Variables!K2:K47, Variables!C2:C47,"Manufacturing")),0)</f>
        <v/>
      </c>
      <c r="D31" s="9">
        <f>IFERROR(B31/C31,"")</f>
        <v/>
      </c>
    </row>
    <row r="32">
      <c r="A32" s="7" t="inlineStr">
        <is>
          <t>Close / Show-up</t>
        </is>
      </c>
      <c r="B32" s="10">
        <f>IFERROR((SUMIFS(Variables!P2:P47, Variables!C2:C47,"Financial Services 1-5"))/(SUMIFS(Variables!L2:L47, Variables!C2:C47,"Financial Services 1-5")),0)</f>
        <v/>
      </c>
      <c r="C32" s="10">
        <f>IFERROR((SUMIFS(Variables!P2:P47, Variables!C2:C47,"Manufacturing"))/(SUMIFS(Variables!L2:L47, Variables!C2:C47,"Manufacturing")),0)</f>
        <v/>
      </c>
      <c r="D32" s="9">
        <f>IFERROR(B32/C32,"")</f>
        <v/>
      </c>
    </row>
    <row r="33">
      <c r="A33" s="7" t="inlineStr">
        <is>
          <t>Close / Interested</t>
        </is>
      </c>
      <c r="B33" s="10">
        <f>IFERROR((SUMIFS(Variables!P2:P47, Variables!C2:C47,"Financial Services 1-5"))/(SUMIFS(Variables!J2:J47, Variables!C2:C47,"Financial Services 1-5")),0)</f>
        <v/>
      </c>
      <c r="C33" s="10">
        <f>IFERROR((SUMIFS(Variables!P2:P47, Variables!C2:C47,"Manufacturing"))/(SUMIFS(Variables!J2:J47, Variables!C2:C47,"Manufacturing")),0)</f>
        <v/>
      </c>
      <c r="D33" s="9">
        <f>IFERROR(B33/C33,"")</f>
        <v/>
      </c>
    </row>
    <row r="34">
      <c r="A34" s="7" t="inlineStr">
        <is>
          <t>Close / Lead</t>
        </is>
      </c>
      <c r="B34" s="11">
        <f>IFERROR((SUMIFS(Variables!P2:P47, Variables!C2:C47,"Financial Services 1-5"))/(SUMIFS(Variables!G2:G47, Variables!C2:C47,"Financial Services 1-5")),0)</f>
        <v/>
      </c>
      <c r="C34" s="11">
        <f>IFERROR((SUMIFS(Variables!P2:P47, Variables!C2:C47,"Manufacturing"))/(SUMIFS(Variables!G2:G47, Variables!C2:C47,"Manufacturing")),0)</f>
        <v/>
      </c>
      <c r="D34" s="9">
        <f>IFERROR(B34/C34,"")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6" customWidth="1" min="3" max="3"/>
    <col width="16" customWidth="1" min="4" max="4"/>
  </cols>
  <sheetData>
    <row r="1">
      <c r="A1" s="3" t="inlineStr">
        <is>
          <t>Industry</t>
        </is>
      </c>
      <c r="B1" s="3" t="inlineStr">
        <is>
          <t>Cell ref</t>
        </is>
      </c>
    </row>
    <row r="2">
      <c r="A2" s="3" t="inlineStr">
        <is>
          <t>Construction</t>
        </is>
      </c>
      <c r="B2" s="4" t="inlineStr">
        <is>
          <t>used by all formulas below ↓</t>
        </is>
      </c>
    </row>
    <row r="4">
      <c r="A4" s="2" t="inlineStr">
        <is>
          <t>Metric</t>
        </is>
      </c>
      <c r="B4" s="2" t="inlineStr">
        <is>
          <t>Construction</t>
        </is>
      </c>
      <c r="C4" s="2" t="inlineStr">
        <is>
          <t>Manufacturing (benchmark)</t>
        </is>
      </c>
      <c r="D4" s="2" t="inlineStr">
        <is>
          <t>Index vs MFG</t>
        </is>
      </c>
    </row>
    <row r="5">
      <c r="A5" s="5" t="inlineStr">
        <is>
          <t>EMAIL</t>
        </is>
      </c>
      <c r="B5" s="6" t="n"/>
      <c r="C5" s="6" t="n"/>
      <c r="D5" s="6" t="n"/>
    </row>
    <row r="6">
      <c r="A6" s="7" t="inlineStr">
        <is>
          <t>Emails Sent</t>
        </is>
      </c>
      <c r="B6" s="8">
        <f>SUMIFS(Variables!F2:F47, Variables!C2:C47,"Construction")</f>
        <v/>
      </c>
      <c r="C6" s="8">
        <f>SUMIFS(Variables!F2:F47, Variables!C2:C47,"Manufacturing")</f>
        <v/>
      </c>
      <c r="D6" s="9">
        <f>IFERROR(B6/C6,"")</f>
        <v/>
      </c>
    </row>
    <row r="7">
      <c r="A7" s="7" t="inlineStr">
        <is>
          <t>Leads Contacted</t>
        </is>
      </c>
      <c r="B7" s="8">
        <f>SUMIFS(Variables!G2:G47, Variables!C2:C47,"Construction")</f>
        <v/>
      </c>
      <c r="C7" s="8">
        <f>SUMIFS(Variables!G2:G47, Variables!C2:C47,"Manufacturing")</f>
        <v/>
      </c>
      <c r="D7" s="9">
        <f>IFERROR(B7/C7,"")</f>
        <v/>
      </c>
    </row>
    <row r="8">
      <c r="A8" s="7" t="inlineStr">
        <is>
          <t>Replied (total)</t>
        </is>
      </c>
      <c r="B8" s="8">
        <f>SUMIFS(Variables!H2:H47, Variables!C2:C47,"Construction")</f>
        <v/>
      </c>
      <c r="C8" s="8">
        <f>SUMIFS(Variables!H2:H47, Variables!C2:C47,"Manufacturing")</f>
        <v/>
      </c>
      <c r="D8" s="9">
        <f>IFERROR(B8/C8,"")</f>
        <v/>
      </c>
    </row>
    <row r="9">
      <c r="A9" s="7" t="inlineStr">
        <is>
          <t>Reply Rate (per lead)</t>
        </is>
      </c>
      <c r="B9" s="10">
        <f>IFERROR((SUMIFS(Variables!H2:H47, Variables!C2:C47,"Construction"))/(SUMIFS(Variables!G2:G47, Variables!C2:C47,"Construction")),0)</f>
        <v/>
      </c>
      <c r="C9" s="10">
        <f>IFERROR((SUMIFS(Variables!H2:H47, Variables!C2:C47,"Manufacturing"))/(SUMIFS(Variables!G2:G47, Variables!C2:C47,"Manufacturing")),0)</f>
        <v/>
      </c>
      <c r="D9" s="9">
        <f>IFERROR(B9/C9,"")</f>
        <v/>
      </c>
    </row>
    <row r="10">
      <c r="A10" s="7" t="inlineStr">
        <is>
          <t>Bounced</t>
        </is>
      </c>
      <c r="B10" s="8">
        <f>SUMIFS(Variables!I2:I47, Variables!C2:C47,"Construction")</f>
        <v/>
      </c>
      <c r="C10" s="8">
        <f>SUMIFS(Variables!I2:I47, Variables!C2:C47,"Manufacturing")</f>
        <v/>
      </c>
      <c r="D10" s="9">
        <f>IFERROR(B10/C10,"")</f>
        <v/>
      </c>
    </row>
    <row r="11">
      <c r="A11" s="7" t="inlineStr">
        <is>
          <t>Bounce % (per lead)</t>
        </is>
      </c>
      <c r="B11" s="10">
        <f>IFERROR((SUMIFS(Variables!I2:I47, Variables!C2:C47,"Construction"))/(SUMIFS(Variables!G2:G47, Variables!C2:C47,"Construction")),0)</f>
        <v/>
      </c>
      <c r="C11" s="10">
        <f>IFERROR((SUMIFS(Variables!I2:I47, Variables!C2:C47,"Manufacturing"))/(SUMIFS(Variables!G2:G47, Variables!C2:C47,"Manufacturing")),0)</f>
        <v/>
      </c>
      <c r="D11" s="9">
        <f>IFERROR(B11/C11,"")</f>
        <v/>
      </c>
    </row>
    <row r="12">
      <c r="A12" s="7" t="inlineStr">
        <is>
          <t>Interested Replies</t>
        </is>
      </c>
      <c r="B12" s="8">
        <f>SUMIFS(Variables!J2:J47, Variables!C2:C47,"Construction")</f>
        <v/>
      </c>
      <c r="C12" s="8">
        <f>SUMIFS(Variables!J2:J47, Variables!C2:C47,"Manufacturing")</f>
        <v/>
      </c>
      <c r="D12" s="9">
        <f>IFERROR(B12/C12,"")</f>
        <v/>
      </c>
    </row>
    <row r="13">
      <c r="A13" s="7" t="inlineStr">
        <is>
          <t>Interest Rate (per lead)</t>
        </is>
      </c>
      <c r="B13" s="11">
        <f>IFERROR((SUMIFS(Variables!J2:J47, Variables!C2:C47,"Construction"))/(SUMIFS(Variables!G2:G47, Variables!C2:C47,"Construction")),0)</f>
        <v/>
      </c>
      <c r="C13" s="11">
        <f>IFERROR((SUMIFS(Variables!J2:J47, Variables!C2:C47,"Manufacturing"))/(SUMIFS(Variables!G2:G47, Variables!C2:C47,"Manufacturing")),0)</f>
        <v/>
      </c>
      <c r="D13" s="9">
        <f>IFERROR(B13/C13,"")</f>
        <v/>
      </c>
    </row>
    <row r="14">
      <c r="A14" s="5" t="inlineStr">
        <is>
          <t>DEMOS</t>
        </is>
      </c>
      <c r="B14" s="6" t="n"/>
      <c r="C14" s="6" t="n"/>
      <c r="D14" s="6" t="n"/>
    </row>
    <row r="15">
      <c r="A15" s="7" t="inlineStr">
        <is>
          <t>Demos Booked</t>
        </is>
      </c>
      <c r="B15" s="8">
        <f>SUMIFS(Variables!K2:K47, Variables!C2:C47,"Construction")</f>
        <v/>
      </c>
      <c r="C15" s="8">
        <f>SUMIFS(Variables!K2:K47, Variables!C2:C47,"Manufacturing")</f>
        <v/>
      </c>
      <c r="D15" s="9">
        <f>IFERROR(B15/C15,"")</f>
        <v/>
      </c>
    </row>
    <row r="16">
      <c r="A16" s="7" t="inlineStr">
        <is>
          <t>Pending Demos</t>
        </is>
      </c>
      <c r="B16" s="8">
        <f>SUMIFS(Variables!M2:M47, Variables!C2:C47,"Construction")</f>
        <v/>
      </c>
      <c r="C16" s="8">
        <f>SUMIFS(Variables!M2:M47, Variables!C2:C47,"Manufacturing")</f>
        <v/>
      </c>
      <c r="D16" s="9">
        <f>IFERROR(B16/C16,"")</f>
        <v/>
      </c>
    </row>
    <row r="17">
      <c r="A17" s="7" t="inlineStr">
        <is>
          <t>Demos / Emails Sent</t>
        </is>
      </c>
      <c r="B17" s="11">
        <f>IFERROR((SUMIFS(Variables!K2:K47, Variables!C2:C47,"Construction"))/(SUMIFS(Variables!F2:F47, Variables!C2:C47,"Construction")),0)</f>
        <v/>
      </c>
      <c r="C17" s="11">
        <f>IFERROR((SUMIFS(Variables!K2:K47, Variables!C2:C47,"Manufacturing"))/(SUMIFS(Variables!F2:F47, Variables!C2:C47,"Manufacturing")),0)</f>
        <v/>
      </c>
      <c r="D17" s="9">
        <f>IFERROR(B17/C17,"")</f>
        <v/>
      </c>
    </row>
    <row r="18">
      <c r="A18" s="7" t="inlineStr">
        <is>
          <t>Demos / Leads Contacted</t>
        </is>
      </c>
      <c r="B18" s="11">
        <f>IFERROR((SUMIFS(Variables!K2:K47, Variables!C2:C47,"Construction"))/(SUMIFS(Variables!G2:G47, Variables!C2:C47,"Construction")),0)</f>
        <v/>
      </c>
      <c r="C18" s="11">
        <f>IFERROR((SUMIFS(Variables!K2:K47, Variables!C2:C47,"Manufacturing"))/(SUMIFS(Variables!G2:G47, Variables!C2:C47,"Manufacturing")),0)</f>
        <v/>
      </c>
      <c r="D18" s="9">
        <f>IFERROR(B18/C18,"")</f>
        <v/>
      </c>
    </row>
    <row r="19">
      <c r="A19" s="7" t="inlineStr">
        <is>
          <t>Demos / Interested</t>
        </is>
      </c>
      <c r="B19" s="10">
        <f>IFERROR((SUMIFS(Variables!K2:K47, Variables!C2:C47,"Construction"))/(SUMIFS(Variables!J2:J47, Variables!C2:C47,"Construction")),0)</f>
        <v/>
      </c>
      <c r="C19" s="10">
        <f>IFERROR((SUMIFS(Variables!K2:K47, Variables!C2:C47,"Manufacturing"))/(SUMIFS(Variables!J2:J47, Variables!C2:C47,"Manufacturing")),0)</f>
        <v/>
      </c>
      <c r="D19" s="9">
        <f>IFERROR(B19/C19,"")</f>
        <v/>
      </c>
    </row>
    <row r="20">
      <c r="A20" s="5" t="inlineStr">
        <is>
          <t>SHOW-UPS</t>
        </is>
      </c>
      <c r="B20" s="6" t="n"/>
      <c r="C20" s="6" t="n"/>
      <c r="D20" s="6" t="n"/>
    </row>
    <row r="21">
      <c r="A21" s="7" t="inlineStr">
        <is>
          <t>Total Show-ups</t>
        </is>
      </c>
      <c r="B21" s="8">
        <f>SUMIFS(Variables!L2:L47, Variables!C2:C47,"Construction")</f>
        <v/>
      </c>
      <c r="C21" s="8">
        <f>SUMIFS(Variables!L2:L47, Variables!C2:C47,"Manufacturing")</f>
        <v/>
      </c>
      <c r="D21" s="9">
        <f>IFERROR(B21/C21,"")</f>
        <v/>
      </c>
    </row>
    <row r="22">
      <c r="A22" s="7" t="inlineStr">
        <is>
          <t>No-shows</t>
        </is>
      </c>
      <c r="B22" s="8">
        <f>SUMIFS(Variables!N2:N47, Variables!C2:C47,"Construction")</f>
        <v/>
      </c>
      <c r="C22" s="8">
        <f>SUMIFS(Variables!N2:N47, Variables!C2:C47,"Manufacturing")</f>
        <v/>
      </c>
      <c r="D22" s="9">
        <f>IFERROR(B22/C22,"")</f>
        <v/>
      </c>
    </row>
    <row r="23">
      <c r="A23" s="7" t="inlineStr">
        <is>
          <t>Show-ups / Emails Sent</t>
        </is>
      </c>
      <c r="B23" s="11">
        <f>IFERROR((SUMIFS(Variables!L2:L47, Variables!C2:C47,"Construction"))/(SUMIFS(Variables!F2:F47, Variables!C2:C47,"Construction")),0)</f>
        <v/>
      </c>
      <c r="C23" s="11">
        <f>IFERROR((SUMIFS(Variables!L2:L47, Variables!C2:C47,"Manufacturing"))/(SUMIFS(Variables!F2:F47, Variables!C2:C47,"Manufacturing")),0)</f>
        <v/>
      </c>
      <c r="D23" s="9">
        <f>IFERROR(B23/C23,"")</f>
        <v/>
      </c>
    </row>
    <row r="24">
      <c r="A24" s="7" t="inlineStr">
        <is>
          <t>Show-ups / Leads Contacted</t>
        </is>
      </c>
      <c r="B24" s="11">
        <f>IFERROR((SUMIFS(Variables!L2:L47, Variables!C2:C47,"Construction"))/(SUMIFS(Variables!G2:G47, Variables!C2:C47,"Construction")),0)</f>
        <v/>
      </c>
      <c r="C24" s="11">
        <f>IFERROR((SUMIFS(Variables!L2:L47, Variables!C2:C47,"Manufacturing"))/(SUMIFS(Variables!G2:G47, Variables!C2:C47,"Manufacturing")),0)</f>
        <v/>
      </c>
      <c r="D24" s="9">
        <f>IFERROR(B24/C24,"")</f>
        <v/>
      </c>
    </row>
    <row r="25">
      <c r="A25" s="7" t="inlineStr">
        <is>
          <t>Show-up Rate (Shows / Completed)</t>
        </is>
      </c>
      <c r="B25" s="10">
        <f>IFERROR((SUMIFS(Variables!L2:L47, Variables!C2:C47,"Construction"))/(SUMIFS(Variables!O2:O47, Variables!C2:C47,"Construction")),0)</f>
        <v/>
      </c>
      <c r="C25" s="10">
        <f>IFERROR((SUMIFS(Variables!L2:L47, Variables!C2:C47,"Manufacturing"))/(SUMIFS(Variables!O2:O47, Variables!C2:C47,"Manufacturing")),0)</f>
        <v/>
      </c>
      <c r="D25" s="9">
        <f>IFERROR(B25/C25,"")</f>
        <v/>
      </c>
    </row>
    <row r="26">
      <c r="A26" s="7" t="inlineStr">
        <is>
          <t>Show-ups / Interested</t>
        </is>
      </c>
      <c r="B26" s="10">
        <f>IFERROR((SUMIFS(Variables!L2:L47, Variables!C2:C47,"Construction"))/(SUMIFS(Variables!J2:J47, Variables!C2:C47,"Construction")),0)</f>
        <v/>
      </c>
      <c r="C26" s="10">
        <f>IFERROR((SUMIFS(Variables!L2:L47, Variables!C2:C47,"Manufacturing"))/(SUMIFS(Variables!J2:J47, Variables!C2:C47,"Manufacturing")),0)</f>
        <v/>
      </c>
      <c r="D26" s="9">
        <f>IFERROR(B26/C26,"")</f>
        <v/>
      </c>
    </row>
    <row r="27">
      <c r="A27" s="5" t="inlineStr">
        <is>
          <t>CLOSED (ONBOARDINGS)</t>
        </is>
      </c>
      <c r="B27" s="6" t="n"/>
      <c r="C27" s="6" t="n"/>
      <c r="D27" s="6" t="n"/>
    </row>
    <row r="28">
      <c r="A28" s="7" t="inlineStr">
        <is>
          <t>Closed Deals</t>
        </is>
      </c>
      <c r="B28" s="8">
        <f>SUMIFS(Variables!P2:P47, Variables!C2:C47,"Construction")</f>
        <v/>
      </c>
      <c r="C28" s="8">
        <f>SUMIFS(Variables!P2:P47, Variables!C2:C47,"Manufacturing")</f>
        <v/>
      </c>
      <c r="D28" s="9">
        <f>IFERROR(B28/C28,"")</f>
        <v/>
      </c>
    </row>
    <row r="29">
      <c r="A29" s="7" t="inlineStr">
        <is>
          <t>ARR</t>
        </is>
      </c>
      <c r="B29" s="12">
        <f>SUMIFS(Variables!Q2:Q47, Variables!C2:C47,"Construction")</f>
        <v/>
      </c>
      <c r="C29" s="12">
        <f>SUMIFS(Variables!Q2:Q47, Variables!C2:C47,"Manufacturing")</f>
        <v/>
      </c>
      <c r="D29" s="9">
        <f>IFERROR(B29/C29,"")</f>
        <v/>
      </c>
    </row>
    <row r="30">
      <c r="A30" s="7" t="inlineStr">
        <is>
          <t>MRR</t>
        </is>
      </c>
      <c r="B30" s="12">
        <f>SUMIFS(Variables!R2:R47, Variables!C2:C47,"Construction")</f>
        <v/>
      </c>
      <c r="C30" s="12">
        <f>SUMIFS(Variables!R2:R47, Variables!C2:C47,"Manufacturing")</f>
        <v/>
      </c>
      <c r="D30" s="9">
        <f>IFERROR(B30/C30,"")</f>
        <v/>
      </c>
    </row>
    <row r="31">
      <c r="A31" s="7" t="inlineStr">
        <is>
          <t>Close / Demo</t>
        </is>
      </c>
      <c r="B31" s="10">
        <f>IFERROR((SUMIFS(Variables!P2:P47, Variables!C2:C47,"Construction"))/(SUMIFS(Variables!K2:K47, Variables!C2:C47,"Construction")),0)</f>
        <v/>
      </c>
      <c r="C31" s="10">
        <f>IFERROR((SUMIFS(Variables!P2:P47, Variables!C2:C47,"Manufacturing"))/(SUMIFS(Variables!K2:K47, Variables!C2:C47,"Manufacturing")),0)</f>
        <v/>
      </c>
      <c r="D31" s="9">
        <f>IFERROR(B31/C31,"")</f>
        <v/>
      </c>
    </row>
    <row r="32">
      <c r="A32" s="7" t="inlineStr">
        <is>
          <t>Close / Show-up</t>
        </is>
      </c>
      <c r="B32" s="10">
        <f>IFERROR((SUMIFS(Variables!P2:P47, Variables!C2:C47,"Construction"))/(SUMIFS(Variables!L2:L47, Variables!C2:C47,"Construction")),0)</f>
        <v/>
      </c>
      <c r="C32" s="10">
        <f>IFERROR((SUMIFS(Variables!P2:P47, Variables!C2:C47,"Manufacturing"))/(SUMIFS(Variables!L2:L47, Variables!C2:C47,"Manufacturing")),0)</f>
        <v/>
      </c>
      <c r="D32" s="9">
        <f>IFERROR(B32/C32,"")</f>
        <v/>
      </c>
    </row>
    <row r="33">
      <c r="A33" s="7" t="inlineStr">
        <is>
          <t>Close / Interested</t>
        </is>
      </c>
      <c r="B33" s="10">
        <f>IFERROR((SUMIFS(Variables!P2:P47, Variables!C2:C47,"Construction"))/(SUMIFS(Variables!J2:J47, Variables!C2:C47,"Construction")),0)</f>
        <v/>
      </c>
      <c r="C33" s="10">
        <f>IFERROR((SUMIFS(Variables!P2:P47, Variables!C2:C47,"Manufacturing"))/(SUMIFS(Variables!J2:J47, Variables!C2:C47,"Manufacturing")),0)</f>
        <v/>
      </c>
      <c r="D33" s="9">
        <f>IFERROR(B33/C33,"")</f>
        <v/>
      </c>
    </row>
    <row r="34">
      <c r="A34" s="7" t="inlineStr">
        <is>
          <t>Close / Lead</t>
        </is>
      </c>
      <c r="B34" s="11">
        <f>IFERROR((SUMIFS(Variables!P2:P47, Variables!C2:C47,"Construction"))/(SUMIFS(Variables!G2:G47, Variables!C2:C47,"Construction")),0)</f>
        <v/>
      </c>
      <c r="C34" s="11">
        <f>IFERROR((SUMIFS(Variables!P2:P47, Variables!C2:C47,"Manufacturing"))/(SUMIFS(Variables!G2:G47, Variables!C2:C47,"Manufacturing")),0)</f>
        <v/>
      </c>
      <c r="D34" s="9">
        <f>IFERROR(B34/C34,"")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6" customWidth="1" min="3" max="3"/>
    <col width="16" customWidth="1" min="4" max="4"/>
  </cols>
  <sheetData>
    <row r="1">
      <c r="A1" s="3" t="inlineStr">
        <is>
          <t>Industry</t>
        </is>
      </c>
      <c r="B1" s="3" t="inlineStr">
        <is>
          <t>Cell ref</t>
        </is>
      </c>
    </row>
    <row r="2">
      <c r="A2" s="3" t="inlineStr">
        <is>
          <t>Google Ads</t>
        </is>
      </c>
      <c r="B2" s="4" t="inlineStr">
        <is>
          <t>used by all formulas below ↓</t>
        </is>
      </c>
    </row>
    <row r="4">
      <c r="A4" s="2" t="inlineStr">
        <is>
          <t>Metric</t>
        </is>
      </c>
      <c r="B4" s="2" t="inlineStr">
        <is>
          <t>Google Ads</t>
        </is>
      </c>
      <c r="C4" s="2" t="inlineStr">
        <is>
          <t>Manufacturing (benchmark)</t>
        </is>
      </c>
      <c r="D4" s="2" t="inlineStr">
        <is>
          <t>Index vs MFG</t>
        </is>
      </c>
    </row>
    <row r="5">
      <c r="A5" s="5" t="inlineStr">
        <is>
          <t>EMAIL</t>
        </is>
      </c>
      <c r="B5" s="6" t="n"/>
      <c r="C5" s="6" t="n"/>
      <c r="D5" s="6" t="n"/>
    </row>
    <row r="6">
      <c r="A6" s="7" t="inlineStr">
        <is>
          <t>Emails Sent</t>
        </is>
      </c>
      <c r="B6" s="8">
        <f>SUMIFS(Variables!F2:F47, Variables!C2:C47,"Google Ads (Running)")+SUMIFS(Variables!F2:F47, Variables!C2:C47,"Google Ads (Stopped)")</f>
        <v/>
      </c>
      <c r="C6" s="8">
        <f>SUMIFS(Variables!F2:F47, Variables!C2:C47,"Manufacturing")</f>
        <v/>
      </c>
      <c r="D6" s="9">
        <f>IFERROR(B6/C6,"")</f>
        <v/>
      </c>
    </row>
    <row r="7">
      <c r="A7" s="7" t="inlineStr">
        <is>
          <t>Leads Contacted</t>
        </is>
      </c>
      <c r="B7" s="8">
        <f>SUMIFS(Variables!G2:G47, Variables!C2:C47,"Google Ads (Running)")+SUMIFS(Variables!G2:G47, Variables!C2:C47,"Google Ads (Stopped)")</f>
        <v/>
      </c>
      <c r="C7" s="8">
        <f>SUMIFS(Variables!G2:G47, Variables!C2:C47,"Manufacturing")</f>
        <v/>
      </c>
      <c r="D7" s="9">
        <f>IFERROR(B7/C7,"")</f>
        <v/>
      </c>
    </row>
    <row r="8">
      <c r="A8" s="7" t="inlineStr">
        <is>
          <t>Replied (total)</t>
        </is>
      </c>
      <c r="B8" s="8">
        <f>SUMIFS(Variables!H2:H47, Variables!C2:C47,"Google Ads (Running)")+SUMIFS(Variables!H2:H47, Variables!C2:C47,"Google Ads (Stopped)")</f>
        <v/>
      </c>
      <c r="C8" s="8">
        <f>SUMIFS(Variables!H2:H47, Variables!C2:C47,"Manufacturing")</f>
        <v/>
      </c>
      <c r="D8" s="9">
        <f>IFERROR(B8/C8,"")</f>
        <v/>
      </c>
    </row>
    <row r="9">
      <c r="A9" s="7" t="inlineStr">
        <is>
          <t>Reply Rate (per lead)</t>
        </is>
      </c>
      <c r="B9" s="10">
        <f>IFERROR((SUMIFS(Variables!H2:H47, Variables!C2:C47,"Google Ads (Running)")+SUMIFS(Variables!H2:H47, Variables!C2:C47,"Google Ads (Stopped)"))/(SUMIFS(Variables!G2:G47, Variables!C2:C47,"Google Ads (Running)")+SUMIFS(Variables!G2:G47, Variables!C2:C47,"Google Ads (Stopped)")),0)</f>
        <v/>
      </c>
      <c r="C9" s="10">
        <f>IFERROR((SUMIFS(Variables!H2:H47, Variables!C2:C47,"Manufacturing"))/(SUMIFS(Variables!G2:G47, Variables!C2:C47,"Manufacturing")),0)</f>
        <v/>
      </c>
      <c r="D9" s="9">
        <f>IFERROR(B9/C9,"")</f>
        <v/>
      </c>
    </row>
    <row r="10">
      <c r="A10" s="7" t="inlineStr">
        <is>
          <t>Bounced</t>
        </is>
      </c>
      <c r="B10" s="8">
        <f>SUMIFS(Variables!I2:I47, Variables!C2:C47,"Google Ads (Running)")+SUMIFS(Variables!I2:I47, Variables!C2:C47,"Google Ads (Stopped)")</f>
        <v/>
      </c>
      <c r="C10" s="8">
        <f>SUMIFS(Variables!I2:I47, Variables!C2:C47,"Manufacturing")</f>
        <v/>
      </c>
      <c r="D10" s="9">
        <f>IFERROR(B10/C10,"")</f>
        <v/>
      </c>
    </row>
    <row r="11">
      <c r="A11" s="7" t="inlineStr">
        <is>
          <t>Bounce % (per lead)</t>
        </is>
      </c>
      <c r="B11" s="10">
        <f>IFERROR((SUMIFS(Variables!I2:I47, Variables!C2:C47,"Google Ads (Running)")+SUMIFS(Variables!I2:I47, Variables!C2:C47,"Google Ads (Stopped)"))/(SUMIFS(Variables!G2:G47, Variables!C2:C47,"Google Ads (Running)")+SUMIFS(Variables!G2:G47, Variables!C2:C47,"Google Ads (Stopped)")),0)</f>
        <v/>
      </c>
      <c r="C11" s="10">
        <f>IFERROR((SUMIFS(Variables!I2:I47, Variables!C2:C47,"Manufacturing"))/(SUMIFS(Variables!G2:G47, Variables!C2:C47,"Manufacturing")),0)</f>
        <v/>
      </c>
      <c r="D11" s="9">
        <f>IFERROR(B11/C11,"")</f>
        <v/>
      </c>
    </row>
    <row r="12">
      <c r="A12" s="7" t="inlineStr">
        <is>
          <t>Interested Replies</t>
        </is>
      </c>
      <c r="B12" s="8">
        <f>SUMIFS(Variables!J2:J47, Variables!C2:C47,"Google Ads (Running)")+SUMIFS(Variables!J2:J47, Variables!C2:C47,"Google Ads (Stopped)")</f>
        <v/>
      </c>
      <c r="C12" s="8">
        <f>SUMIFS(Variables!J2:J47, Variables!C2:C47,"Manufacturing")</f>
        <v/>
      </c>
      <c r="D12" s="9">
        <f>IFERROR(B12/C12,"")</f>
        <v/>
      </c>
    </row>
    <row r="13">
      <c r="A13" s="7" t="inlineStr">
        <is>
          <t>Interest Rate (per lead)</t>
        </is>
      </c>
      <c r="B13" s="11">
        <f>IFERROR((SUMIFS(Variables!J2:J47, Variables!C2:C47,"Google Ads (Running)")+SUMIFS(Variables!J2:J47, Variables!C2:C47,"Google Ads (Stopped)"))/(SUMIFS(Variables!G2:G47, Variables!C2:C47,"Google Ads (Running)")+SUMIFS(Variables!G2:G47, Variables!C2:C47,"Google Ads (Stopped)")),0)</f>
        <v/>
      </c>
      <c r="C13" s="11">
        <f>IFERROR((SUMIFS(Variables!J2:J47, Variables!C2:C47,"Manufacturing"))/(SUMIFS(Variables!G2:G47, Variables!C2:C47,"Manufacturing")),0)</f>
        <v/>
      </c>
      <c r="D13" s="9">
        <f>IFERROR(B13/C13,"")</f>
        <v/>
      </c>
    </row>
    <row r="14">
      <c r="A14" s="5" t="inlineStr">
        <is>
          <t>DEMOS</t>
        </is>
      </c>
      <c r="B14" s="6" t="n"/>
      <c r="C14" s="6" t="n"/>
      <c r="D14" s="6" t="n"/>
    </row>
    <row r="15">
      <c r="A15" s="7" t="inlineStr">
        <is>
          <t>Demos Booked</t>
        </is>
      </c>
      <c r="B15" s="8">
        <f>SUMIFS(Variables!K2:K47, Variables!C2:C47,"Google Ads (Running)")+SUMIFS(Variables!K2:K47, Variables!C2:C47,"Google Ads (Stopped)")</f>
        <v/>
      </c>
      <c r="C15" s="8">
        <f>SUMIFS(Variables!K2:K47, Variables!C2:C47,"Manufacturing")</f>
        <v/>
      </c>
      <c r="D15" s="9">
        <f>IFERROR(B15/C15,"")</f>
        <v/>
      </c>
    </row>
    <row r="16">
      <c r="A16" s="7" t="inlineStr">
        <is>
          <t>Pending Demos</t>
        </is>
      </c>
      <c r="B16" s="8">
        <f>SUMIFS(Variables!M2:M47, Variables!C2:C47,"Google Ads (Running)")+SUMIFS(Variables!M2:M47, Variables!C2:C47,"Google Ads (Stopped)")</f>
        <v/>
      </c>
      <c r="C16" s="8">
        <f>SUMIFS(Variables!M2:M47, Variables!C2:C47,"Manufacturing")</f>
        <v/>
      </c>
      <c r="D16" s="9">
        <f>IFERROR(B16/C16,"")</f>
        <v/>
      </c>
    </row>
    <row r="17">
      <c r="A17" s="7" t="inlineStr">
        <is>
          <t>Demos / Emails Sent</t>
        </is>
      </c>
      <c r="B17" s="11">
        <f>IFERROR((SUMIFS(Variables!K2:K47, Variables!C2:C47,"Google Ads (Running)")+SUMIFS(Variables!K2:K47, Variables!C2:C47,"Google Ads (Stopped)"))/(SUMIFS(Variables!F2:F47, Variables!C2:C47,"Google Ads (Running)")+SUMIFS(Variables!F2:F47, Variables!C2:C47,"Google Ads (Stopped)")),0)</f>
        <v/>
      </c>
      <c r="C17" s="11">
        <f>IFERROR((SUMIFS(Variables!K2:K47, Variables!C2:C47,"Manufacturing"))/(SUMIFS(Variables!F2:F47, Variables!C2:C47,"Manufacturing")),0)</f>
        <v/>
      </c>
      <c r="D17" s="9">
        <f>IFERROR(B17/C17,"")</f>
        <v/>
      </c>
    </row>
    <row r="18">
      <c r="A18" s="7" t="inlineStr">
        <is>
          <t>Demos / Leads Contacted</t>
        </is>
      </c>
      <c r="B18" s="11">
        <f>IFERROR((SUMIFS(Variables!K2:K47, Variables!C2:C47,"Google Ads (Running)")+SUMIFS(Variables!K2:K47, Variables!C2:C47,"Google Ads (Stopped)"))/(SUMIFS(Variables!G2:G47, Variables!C2:C47,"Google Ads (Running)")+SUMIFS(Variables!G2:G47, Variables!C2:C47,"Google Ads (Stopped)")),0)</f>
        <v/>
      </c>
      <c r="C18" s="11">
        <f>IFERROR((SUMIFS(Variables!K2:K47, Variables!C2:C47,"Manufacturing"))/(SUMIFS(Variables!G2:G47, Variables!C2:C47,"Manufacturing")),0)</f>
        <v/>
      </c>
      <c r="D18" s="9">
        <f>IFERROR(B18/C18,"")</f>
        <v/>
      </c>
    </row>
    <row r="19">
      <c r="A19" s="7" t="inlineStr">
        <is>
          <t>Demos / Interested</t>
        </is>
      </c>
      <c r="B19" s="10">
        <f>IFERROR((SUMIFS(Variables!K2:K47, Variables!C2:C47,"Google Ads (Running)")+SUMIFS(Variables!K2:K47, Variables!C2:C47,"Google Ads (Stopped)"))/(SUMIFS(Variables!J2:J47, Variables!C2:C47,"Google Ads (Running)")+SUMIFS(Variables!J2:J47, Variables!C2:C47,"Google Ads (Stopped)")),0)</f>
        <v/>
      </c>
      <c r="C19" s="10">
        <f>IFERROR((SUMIFS(Variables!K2:K47, Variables!C2:C47,"Manufacturing"))/(SUMIFS(Variables!J2:J47, Variables!C2:C47,"Manufacturing")),0)</f>
        <v/>
      </c>
      <c r="D19" s="9">
        <f>IFERROR(B19/C19,"")</f>
        <v/>
      </c>
    </row>
    <row r="20">
      <c r="A20" s="5" t="inlineStr">
        <is>
          <t>SHOW-UPS</t>
        </is>
      </c>
      <c r="B20" s="6" t="n"/>
      <c r="C20" s="6" t="n"/>
      <c r="D20" s="6" t="n"/>
    </row>
    <row r="21">
      <c r="A21" s="7" t="inlineStr">
        <is>
          <t>Total Show-ups</t>
        </is>
      </c>
      <c r="B21" s="8">
        <f>SUMIFS(Variables!L2:L47, Variables!C2:C47,"Google Ads (Running)")+SUMIFS(Variables!L2:L47, Variables!C2:C47,"Google Ads (Stopped)")</f>
        <v/>
      </c>
      <c r="C21" s="8">
        <f>SUMIFS(Variables!L2:L47, Variables!C2:C47,"Manufacturing")</f>
        <v/>
      </c>
      <c r="D21" s="9">
        <f>IFERROR(B21/C21,"")</f>
        <v/>
      </c>
    </row>
    <row r="22">
      <c r="A22" s="7" t="inlineStr">
        <is>
          <t>No-shows</t>
        </is>
      </c>
      <c r="B22" s="8">
        <f>SUMIFS(Variables!N2:N47, Variables!C2:C47,"Google Ads (Running)")+SUMIFS(Variables!N2:N47, Variables!C2:C47,"Google Ads (Stopped)")</f>
        <v/>
      </c>
      <c r="C22" s="8">
        <f>SUMIFS(Variables!N2:N47, Variables!C2:C47,"Manufacturing")</f>
        <v/>
      </c>
      <c r="D22" s="9">
        <f>IFERROR(B22/C22,"")</f>
        <v/>
      </c>
    </row>
    <row r="23">
      <c r="A23" s="7" t="inlineStr">
        <is>
          <t>Show-ups / Emails Sent</t>
        </is>
      </c>
      <c r="B23" s="11">
        <f>IFERROR((SUMIFS(Variables!L2:L47, Variables!C2:C47,"Google Ads (Running)")+SUMIFS(Variables!L2:L47, Variables!C2:C47,"Google Ads (Stopped)"))/(SUMIFS(Variables!F2:F47, Variables!C2:C47,"Google Ads (Running)")+SUMIFS(Variables!F2:F47, Variables!C2:C47,"Google Ads (Stopped)")),0)</f>
        <v/>
      </c>
      <c r="C23" s="11">
        <f>IFERROR((SUMIFS(Variables!L2:L47, Variables!C2:C47,"Manufacturing"))/(SUMIFS(Variables!F2:F47, Variables!C2:C47,"Manufacturing")),0)</f>
        <v/>
      </c>
      <c r="D23" s="9">
        <f>IFERROR(B23/C23,"")</f>
        <v/>
      </c>
    </row>
    <row r="24">
      <c r="A24" s="7" t="inlineStr">
        <is>
          <t>Show-ups / Leads Contacted</t>
        </is>
      </c>
      <c r="B24" s="11">
        <f>IFERROR((SUMIFS(Variables!L2:L47, Variables!C2:C47,"Google Ads (Running)")+SUMIFS(Variables!L2:L47, Variables!C2:C47,"Google Ads (Stopped)"))/(SUMIFS(Variables!G2:G47, Variables!C2:C47,"Google Ads (Running)")+SUMIFS(Variables!G2:G47, Variables!C2:C47,"Google Ads (Stopped)")),0)</f>
        <v/>
      </c>
      <c r="C24" s="11">
        <f>IFERROR((SUMIFS(Variables!L2:L47, Variables!C2:C47,"Manufacturing"))/(SUMIFS(Variables!G2:G47, Variables!C2:C47,"Manufacturing")),0)</f>
        <v/>
      </c>
      <c r="D24" s="9">
        <f>IFERROR(B24/C24,"")</f>
        <v/>
      </c>
    </row>
    <row r="25">
      <c r="A25" s="7" t="inlineStr">
        <is>
          <t>Show-up Rate (Shows / Completed)</t>
        </is>
      </c>
      <c r="B25" s="10">
        <f>IFERROR((SUMIFS(Variables!L2:L47, Variables!C2:C47,"Google Ads (Running)")+SUMIFS(Variables!L2:L47, Variables!C2:C47,"Google Ads (Stopped)"))/(SUMIFS(Variables!O2:O47, Variables!C2:C47,"Google Ads (Running)")+SUMIFS(Variables!O2:O47, Variables!C2:C47,"Google Ads (Stopped)")),0)</f>
        <v/>
      </c>
      <c r="C25" s="10">
        <f>IFERROR((SUMIFS(Variables!L2:L47, Variables!C2:C47,"Manufacturing"))/(SUMIFS(Variables!O2:O47, Variables!C2:C47,"Manufacturing")),0)</f>
        <v/>
      </c>
      <c r="D25" s="9">
        <f>IFERROR(B25/C25,"")</f>
        <v/>
      </c>
    </row>
    <row r="26">
      <c r="A26" s="7" t="inlineStr">
        <is>
          <t>Show-ups / Interested</t>
        </is>
      </c>
      <c r="B26" s="10">
        <f>IFERROR((SUMIFS(Variables!L2:L47, Variables!C2:C47,"Google Ads (Running)")+SUMIFS(Variables!L2:L47, Variables!C2:C47,"Google Ads (Stopped)"))/(SUMIFS(Variables!J2:J47, Variables!C2:C47,"Google Ads (Running)")+SUMIFS(Variables!J2:J47, Variables!C2:C47,"Google Ads (Stopped)")),0)</f>
        <v/>
      </c>
      <c r="C26" s="10">
        <f>IFERROR((SUMIFS(Variables!L2:L47, Variables!C2:C47,"Manufacturing"))/(SUMIFS(Variables!J2:J47, Variables!C2:C47,"Manufacturing")),0)</f>
        <v/>
      </c>
      <c r="D26" s="9">
        <f>IFERROR(B26/C26,"")</f>
        <v/>
      </c>
    </row>
    <row r="27">
      <c r="A27" s="5" t="inlineStr">
        <is>
          <t>CLOSED (ONBOARDINGS)</t>
        </is>
      </c>
      <c r="B27" s="6" t="n"/>
      <c r="C27" s="6" t="n"/>
      <c r="D27" s="6" t="n"/>
    </row>
    <row r="28">
      <c r="A28" s="7" t="inlineStr">
        <is>
          <t>Closed Deals</t>
        </is>
      </c>
      <c r="B28" s="8">
        <f>SUMIFS(Variables!P2:P47, Variables!C2:C47,"Google Ads (Running)")+SUMIFS(Variables!P2:P47, Variables!C2:C47,"Google Ads (Stopped)")</f>
        <v/>
      </c>
      <c r="C28" s="8">
        <f>SUMIFS(Variables!P2:P47, Variables!C2:C47,"Manufacturing")</f>
        <v/>
      </c>
      <c r="D28" s="9">
        <f>IFERROR(B28/C28,"")</f>
        <v/>
      </c>
    </row>
    <row r="29">
      <c r="A29" s="7" t="inlineStr">
        <is>
          <t>ARR</t>
        </is>
      </c>
      <c r="B29" s="12">
        <f>SUMIFS(Variables!Q2:Q47, Variables!C2:C47,"Google Ads (Running)")+SUMIFS(Variables!Q2:Q47, Variables!C2:C47,"Google Ads (Stopped)")</f>
        <v/>
      </c>
      <c r="C29" s="12">
        <f>SUMIFS(Variables!Q2:Q47, Variables!C2:C47,"Manufacturing")</f>
        <v/>
      </c>
      <c r="D29" s="9">
        <f>IFERROR(B29/C29,"")</f>
        <v/>
      </c>
    </row>
    <row r="30">
      <c r="A30" s="7" t="inlineStr">
        <is>
          <t>MRR</t>
        </is>
      </c>
      <c r="B30" s="12">
        <f>SUMIFS(Variables!R2:R47, Variables!C2:C47,"Google Ads (Running)")+SUMIFS(Variables!R2:R47, Variables!C2:C47,"Google Ads (Stopped)")</f>
        <v/>
      </c>
      <c r="C30" s="12">
        <f>SUMIFS(Variables!R2:R47, Variables!C2:C47,"Manufacturing")</f>
        <v/>
      </c>
      <c r="D30" s="9">
        <f>IFERROR(B30/C30,"")</f>
        <v/>
      </c>
    </row>
    <row r="31">
      <c r="A31" s="7" t="inlineStr">
        <is>
          <t>Close / Demo</t>
        </is>
      </c>
      <c r="B31" s="10">
        <f>IFERROR((SUMIFS(Variables!P2:P47, Variables!C2:C47,"Google Ads (Running)")+SUMIFS(Variables!P2:P47, Variables!C2:C47,"Google Ads (Stopped)"))/(SUMIFS(Variables!K2:K47, Variables!C2:C47,"Google Ads (Running)")+SUMIFS(Variables!K2:K47, Variables!C2:C47,"Google Ads (Stopped)")),0)</f>
        <v/>
      </c>
      <c r="C31" s="10">
        <f>IFERROR((SUMIFS(Variables!P2:P47, Variables!C2:C47,"Manufacturing"))/(SUMIFS(Variables!K2:K47, Variables!C2:C47,"Manufacturing")),0)</f>
        <v/>
      </c>
      <c r="D31" s="9">
        <f>IFERROR(B31/C31,"")</f>
        <v/>
      </c>
    </row>
    <row r="32">
      <c r="A32" s="7" t="inlineStr">
        <is>
          <t>Close / Show-up</t>
        </is>
      </c>
      <c r="B32" s="10">
        <f>IFERROR((SUMIFS(Variables!P2:P47, Variables!C2:C47,"Google Ads (Running)")+SUMIFS(Variables!P2:P47, Variables!C2:C47,"Google Ads (Stopped)"))/(SUMIFS(Variables!L2:L47, Variables!C2:C47,"Google Ads (Running)")+SUMIFS(Variables!L2:L47, Variables!C2:C47,"Google Ads (Stopped)")),0)</f>
        <v/>
      </c>
      <c r="C32" s="10">
        <f>IFERROR((SUMIFS(Variables!P2:P47, Variables!C2:C47,"Manufacturing"))/(SUMIFS(Variables!L2:L47, Variables!C2:C47,"Manufacturing")),0)</f>
        <v/>
      </c>
      <c r="D32" s="9">
        <f>IFERROR(B32/C32,"")</f>
        <v/>
      </c>
    </row>
    <row r="33">
      <c r="A33" s="7" t="inlineStr">
        <is>
          <t>Close / Interested</t>
        </is>
      </c>
      <c r="B33" s="10">
        <f>IFERROR((SUMIFS(Variables!P2:P47, Variables!C2:C47,"Google Ads (Running)")+SUMIFS(Variables!P2:P47, Variables!C2:C47,"Google Ads (Stopped)"))/(SUMIFS(Variables!J2:J47, Variables!C2:C47,"Google Ads (Running)")+SUMIFS(Variables!J2:J47, Variables!C2:C47,"Google Ads (Stopped)")),0)</f>
        <v/>
      </c>
      <c r="C33" s="10">
        <f>IFERROR((SUMIFS(Variables!P2:P47, Variables!C2:C47,"Manufacturing"))/(SUMIFS(Variables!J2:J47, Variables!C2:C47,"Manufacturing")),0)</f>
        <v/>
      </c>
      <c r="D33" s="9">
        <f>IFERROR(B33/C33,"")</f>
        <v/>
      </c>
    </row>
    <row r="34">
      <c r="A34" s="7" t="inlineStr">
        <is>
          <t>Close / Lead</t>
        </is>
      </c>
      <c r="B34" s="11">
        <f>IFERROR((SUMIFS(Variables!P2:P47, Variables!C2:C47,"Google Ads (Running)")+SUMIFS(Variables!P2:P47, Variables!C2:C47,"Google Ads (Stopped)"))/(SUMIFS(Variables!G2:G47, Variables!C2:C47,"Google Ads (Running)")+SUMIFS(Variables!G2:G47, Variables!C2:C47,"Google Ads (Stopped)")),0)</f>
        <v/>
      </c>
      <c r="C34" s="11">
        <f>IFERROR((SUMIFS(Variables!P2:P47, Variables!C2:C47,"Manufacturing"))/(SUMIFS(Variables!G2:G47, Variables!C2:C47,"Manufacturing")),0)</f>
        <v/>
      </c>
      <c r="D34" s="9">
        <f>IFERROR(B34/C34,"")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2026-05-21T22:14:15Z</dcterms:created>
  <dcterms:modified xmlns:dcterms="http://purl.org/dc/terms/" xmlns:xsi="http://www.w3.org/2001/XMLSchema-instance" xsi:type="dcterms:W3CDTF">2026-05-21T22:14:15Z</dcterms:modified>
</cp:coreProperties>
</file>